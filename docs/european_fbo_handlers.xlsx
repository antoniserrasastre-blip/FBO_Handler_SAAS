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FBO &amp; Handler Directory" sheetId="2" state="visible" r:id="rId4"/>
    <sheet name="Summary by Country" sheetId="3" state="visible" r:id="rId5"/>
    <sheet name="Top prospects shortlist" sheetId="4" state="visible" r:id="rId6"/>
  </sheets>
  <definedNames>
    <definedName function="false" hidden="true" localSheetId="1" name="_xlnm._FilterDatabase" vbProcedure="false">'FBO &amp; Handler Directory'!$A$1:$M$165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<sst xmlns="http://schemas.openxmlformats.org/spreadsheetml/2006/main" count="2024" uniqueCount="914">
  <si>
    <t xml:space="preserve">European FBO &amp; Ground Handling — Market Research</t>
  </si>
  <si>
    <t xml:space="preserve">Purpose</t>
  </si>
  <si>
    <t xml:space="preserve">Identify regional and independent FBOs and ground handlers across European secondary hubs as potential customers for a flight operations dashboard platform.</t>
  </si>
  <si>
    <t xml:space="preserve">Scope</t>
  </si>
  <si>
    <t xml:space="preserve">Excludes the global mega-handlers (Menzies, Swissport, dnata, WFS-cargo) from the prospecting focus, but they are noted where they are the only operator at an airport, so you know the competitive landscape.</t>
  </si>
  <si>
    <t xml:space="preserve">Source date</t>
  </si>
  <si>
    <t xml:space="preserve">Research compiled April 2026 from public sources: AENA, airport B2B portals, company websites, trade press (Regional Gateway, AIN, Business Air News), CAPA, LinkedIn.</t>
  </si>
  <si>
    <t xml:space="preserve">Column guide</t>
  </si>
  <si>
    <t xml:space="preserve">Type</t>
  </si>
  <si>
    <t xml:space="preserve">FBO = business/private aviation terminal operator. Handler = commercial airline ground handler. Both = operates in both segments.</t>
  </si>
  <si>
    <t xml:space="preserve">Segment</t>
  </si>
  <si>
    <t xml:space="preserve">Biz Av = business aviation focus. Commercial = scheduled airline handling. Cargo = freight handling. Mixed = more than one.</t>
  </si>
  <si>
    <t xml:space="preserve">Employees</t>
  </si>
  <si>
    <t xml:space="preserve">Approximate, from public sources. Blank where no reliable public figure exists.</t>
  </si>
  <si>
    <t xml:space="preserve">Modernization signal</t>
  </si>
  <si>
    <t xml:space="preserve">INFERRED from public signals only — tech press releases, ISO certifications, visible digital tooling, recent equipment investment, IS-BAH accreditation. NOT a verified audit. Use as a starting hypothesis for qualification calls, not as ground truth.</t>
  </si>
  <si>
    <t xml:space="preserve">  Modern</t>
  </si>
  <si>
    <t xml:space="preserve">Clear digital / recent tech investment signals (e.g., IS-BAH Stage 2, published ISO 27001, own ops apps, recent GSE electrification).</t>
  </si>
  <si>
    <t xml:space="preserve">  Mixed</t>
  </si>
  <si>
    <t xml:space="preserve">Established operator with some modernization signals but likely still mixed workflows.</t>
  </si>
  <si>
    <t xml:space="preserve">  Traditional</t>
  </si>
  <si>
    <t xml:space="preserve">Few public modernization signals. Likely candidate for digital transformation — often the most interesting prospect.</t>
  </si>
  <si>
    <t xml:space="preserve">  Unknown</t>
  </si>
  <si>
    <t xml:space="preserve">Not enough public info to assess.</t>
  </si>
  <si>
    <t xml:space="preserve">Prospecting tip</t>
  </si>
  <si>
    <t xml:space="preserve">The 'Traditional' and 'Mixed' rows are usually the highest-value prospects for a dashboard product. 'Modern' operators may already have an internal solution or a competitor product. Regional independents (G.A.S. Spain, GH Italia, Goldair, Portway, Sky Valet Connect affiliates) are the sweet spot — large enough to have budget, small enough to buy without a 12-month procurement cycle.</t>
  </si>
  <si>
    <t xml:space="preserve">Important caveat</t>
  </si>
  <si>
    <t xml:space="preserve">Aena's 2023 handling tender reshuffled Spanish licenses effective April 2024. Aviapartner gained Madrid, Barcelona, Valencia, Alicante, Ibiza, Bilbao. IAG formed 'South Europe Ground Services' (South) covering 38 airports. Data reflects the post-2024 landscape where verifiable; some sources predate it and are noted.</t>
  </si>
  <si>
    <t xml:space="preserve">Country</t>
  </si>
  <si>
    <t xml:space="preserve">City</t>
  </si>
  <si>
    <t xml:space="preserve">Airport</t>
  </si>
  <si>
    <t xml:space="preserve">ICAO</t>
  </si>
  <si>
    <t xml:space="preserve">IATA</t>
  </si>
  <si>
    <t xml:space="preserve">Company</t>
  </si>
  <si>
    <t xml:space="preserve">Segment focus</t>
  </si>
  <si>
    <t xml:space="preserve">Parent / Network</t>
  </si>
  <si>
    <t xml:space="preserve">Approx. employees</t>
  </si>
  <si>
    <t xml:space="preserve">Notes</t>
  </si>
  <si>
    <t xml:space="preserve">Priority (you fill)</t>
  </si>
  <si>
    <t xml:space="preserve">Spain</t>
  </si>
  <si>
    <t xml:space="preserve">Madrid</t>
  </si>
  <si>
    <t xml:space="preserve">Adolfo Suárez Madrid-Barajas</t>
  </si>
  <si>
    <t xml:space="preserve">LEMD</t>
  </si>
  <si>
    <t xml:space="preserve">MAD</t>
  </si>
  <si>
    <t xml:space="preserve">General Aviation Service (G.A.S.)</t>
  </si>
  <si>
    <t xml:space="preserve">FBO</t>
  </si>
  <si>
    <t xml:space="preserve">Biz Av</t>
  </si>
  <si>
    <t xml:space="preserve">Independent (family-owned, since 1979)</t>
  </si>
  <si>
    <t xml:space="preserve">~100 (group-wide)</t>
  </si>
  <si>
    <t xml:space="preserve">Modern</t>
  </si>
  <si>
    <t xml:space="preserve">Nine-base Spanish FBO network. Invested €200k in new handling equipment in early 2025; first GA handler in Spain authorised to operate TowFLEXX TF5 electric tugs. Flagship independent.</t>
  </si>
  <si>
    <t xml:space="preserve">South Europe Ground Services (South)</t>
  </si>
  <si>
    <t xml:space="preserve">Handler</t>
  </si>
  <si>
    <t xml:space="preserve">Commercial</t>
  </si>
  <si>
    <t xml:space="preserve">IAG Group (Iberia spin-off)</t>
  </si>
  <si>
    <t xml:space="preserve">~8,700</t>
  </si>
  <si>
    <t xml:space="preserve">Mixed</t>
  </si>
  <si>
    <t xml:space="preserve">Formed 2024 from Iberia Airport Services. Present at 38 Spanish airports. New entity — internal systems likely inherited from Iberia, being restructured; possible greenfield for new tooling.</t>
  </si>
  <si>
    <t xml:space="preserve">WFS (Worldwide Flight Services)</t>
  </si>
  <si>
    <t xml:space="preserve">Cargo + Commercial</t>
  </si>
  <si>
    <t xml:space="preserve">Platinum Equity / SATS</t>
  </si>
  <si>
    <t xml:space="preserve">Not disclosed (Spain)</t>
  </si>
  <si>
    <t xml:space="preserve">Cargo leader in MAD, BCN, VLC, BIO. Added full passenger/ramp in Madrid + Seville 2023. Global group, but Spain is a discrete P&amp;L — worth approaching at country-manager level.</t>
  </si>
  <si>
    <t xml:space="preserve">Sky Valet Spain</t>
  </si>
  <si>
    <t xml:space="preserve">Aéroports de la Côte d'Azur (ACA)</t>
  </si>
  <si>
    <t xml:space="preserve">Not disclosed</t>
  </si>
  <si>
    <t xml:space="preserve">Part of 45-FBO pan-European network. Centralised OCC in Spain at +34 916 782 648. Likely has internal tools but satellite bases may operate semi-independently.</t>
  </si>
  <si>
    <t xml:space="preserve">Barcelona</t>
  </si>
  <si>
    <t xml:space="preserve">Barcelona–El Prat</t>
  </si>
  <si>
    <t xml:space="preserve">LEBL</t>
  </si>
  <si>
    <t xml:space="preserve">BCN</t>
  </si>
  <si>
    <t xml:space="preserve">Independent</t>
  </si>
  <si>
    <t xml:space="preserve">Part of ~100 group</t>
  </si>
  <si>
    <t xml:space="preserve">TowFLEXX electric tug already deployed here. Strong biz av hub — F1, Mobile World Congress peaks.</t>
  </si>
  <si>
    <t xml:space="preserve">ExecuJet Barcelona</t>
  </si>
  <si>
    <t xml:space="preserve">Luxaviation Group</t>
  </si>
  <si>
    <t xml:space="preserve">One of four ExecuJet Spanish FBOs (BCN, GRO, IBZ, VLC). Spanish HQ in Palma. Global group tools.</t>
  </si>
  <si>
    <t xml:space="preserve">Sky Valet Barcelona</t>
  </si>
  <si>
    <t xml:space="preserve">Aéroports de la Côte d'Azur</t>
  </si>
  <si>
    <t xml:space="preserve">ACA network base.</t>
  </si>
  <si>
    <t xml:space="preserve">Valencia</t>
  </si>
  <si>
    <t xml:space="preserve">Valencia Airport (Manises)</t>
  </si>
  <si>
    <t xml:space="preserve">LEVC</t>
  </si>
  <si>
    <t xml:space="preserve">VLC</t>
  </si>
  <si>
    <t xml:space="preserve">Valencia Airport, Edificio Bloque Técnico. Terminal Aviación General.</t>
  </si>
  <si>
    <t xml:space="preserve">ExecuJet Valencia</t>
  </si>
  <si>
    <t xml:space="preserve">Luxaviation</t>
  </si>
  <si>
    <t xml:space="preserve">Sky Valet Valencia</t>
  </si>
  <si>
    <t xml:space="preserve">ACA</t>
  </si>
  <si>
    <t xml:space="preserve">Aviapartner Valencia</t>
  </si>
  <si>
    <t xml:space="preserve">Aviapartner (Belgian independent)</t>
  </si>
  <si>
    <t xml:space="preserve">Part of ~12,000 group</t>
  </si>
  <si>
    <t xml:space="preserve">Won license in 2023 Aena tender, effective April 2024. Committed to full GSE electrification — modernisation in progress, good timing for dashboard pitch.</t>
  </si>
  <si>
    <t xml:space="preserve">Bilbao</t>
  </si>
  <si>
    <t xml:space="preserve">Bilbao Airport</t>
  </si>
  <si>
    <t xml:space="preserve">LEBB</t>
  </si>
  <si>
    <t xml:space="preserve">BIO</t>
  </si>
  <si>
    <t xml:space="preserve">Aviapartner Bilbao</t>
  </si>
  <si>
    <t xml:space="preserve">Aviapartner</t>
  </si>
  <si>
    <t xml:space="preserve">New 2024 license. Aviapartner is actively modernising fleet; central ops may still be handler-oriented rather than biz-av.</t>
  </si>
  <si>
    <t xml:space="preserve">Groundforce Bilbao</t>
  </si>
  <si>
    <t xml:space="preserve">Globalia (Spanish group)</t>
  </si>
  <si>
    <t xml:space="preserve">Part of Groundforce group (~5,000+)</t>
  </si>
  <si>
    <t xml:space="preserve">Traditional</t>
  </si>
  <si>
    <t xml:space="preserve">Groundforce is the legacy #2 handler in Spain. Labour-intensive, pre-digital culture at many stations — strong prospect for operational dashboard tooling.</t>
  </si>
  <si>
    <t xml:space="preserve">WFS Bilbao</t>
  </si>
  <si>
    <t xml:space="preserve">Cargo</t>
  </si>
  <si>
    <t xml:space="preserve">WFS/Platinum Equity</t>
  </si>
  <si>
    <t xml:space="preserve">WFS is the largest cargo handler in Bilbao per company statement.</t>
  </si>
  <si>
    <t xml:space="preserve">Palma de Mallorca</t>
  </si>
  <si>
    <t xml:space="preserve">Palma de Mallorca Airport</t>
  </si>
  <si>
    <t xml:space="preserve">LEPA</t>
  </si>
  <si>
    <t xml:space="preserve">PMI</t>
  </si>
  <si>
    <t xml:space="preserve">Mallorcair</t>
  </si>
  <si>
    <t xml:space="preserve">Awarded FBO1 Executive Terminal contract. EMEA Top 10 FBO (Business Air News). Strong local brand — hottest island for biz av in Europe.</t>
  </si>
  <si>
    <t xml:space="preserve">Terminal Ejecutiva. Station Mgr: Sebastia Godia Ozonas.</t>
  </si>
  <si>
    <t xml:space="preserve">ExecuJet Palma (Spanish HQ)</t>
  </si>
  <si>
    <t xml:space="preserve">Headquarters for ExecuJet's four Spanish FBOs.</t>
  </si>
  <si>
    <t xml:space="preserve">Sky Valet Palma</t>
  </si>
  <si>
    <t xml:space="preserve">AviaVIP Palma</t>
  </si>
  <si>
    <t xml:space="preserve">AviaVIP (regional group)</t>
  </si>
  <si>
    <t xml:space="preserve">Also present in Málaga. Smaller player — good early-adopter profile.</t>
  </si>
  <si>
    <t xml:space="preserve">IAG</t>
  </si>
  <si>
    <t xml:space="preserve">Part of ~8,700</t>
  </si>
  <si>
    <t xml:space="preserve">PMI is a South network node.</t>
  </si>
  <si>
    <t xml:space="preserve">Ibiza</t>
  </si>
  <si>
    <t xml:space="preserve">Ibiza Airport</t>
  </si>
  <si>
    <t xml:space="preserve">LEIB</t>
  </si>
  <si>
    <t xml:space="preserve">IBZ</t>
  </si>
  <si>
    <t xml:space="preserve">ExecuJet Ibiza</t>
  </si>
  <si>
    <t xml:space="preserve">~4+ local</t>
  </si>
  <si>
    <t xml:space="preserve">IS-BAH Stage 2 accredited, opened 2011 (took over from Assistair). 24h operations. Summer-peaked — ops intensity spikes hugely Jun-Sep.</t>
  </si>
  <si>
    <t xml:space="preserve">Sky Valet Ibiza</t>
  </si>
  <si>
    <t xml:space="preserve">Aviapartner Ibiza</t>
  </si>
  <si>
    <t xml:space="preserve">Part of ~12,000</t>
  </si>
  <si>
    <t xml:space="preserve">New 2024 license.</t>
  </si>
  <si>
    <t xml:space="preserve">Málaga</t>
  </si>
  <si>
    <t xml:space="preserve">Málaga–Costa del Sol Airport</t>
  </si>
  <si>
    <t xml:space="preserve">LEMG</t>
  </si>
  <si>
    <t xml:space="preserve">AGP</t>
  </si>
  <si>
    <t xml:space="preserve">Aviapartner Málaga FBO</t>
  </si>
  <si>
    <t xml:space="preserve">FBO + Handler</t>
  </si>
  <si>
    <t xml:space="preserve">Biz Av + Commercial</t>
  </si>
  <si>
    <t xml:space="preserve">Separate Málaga FBO S.A. entity. Handler since 2015. GSE electrification commitment under new license.</t>
  </si>
  <si>
    <t xml:space="preserve">AviaVIP Málaga</t>
  </si>
  <si>
    <t xml:space="preserve">AviaVIP</t>
  </si>
  <si>
    <t xml:space="preserve">+34 661 829 722. Good smaller-operator prospect.</t>
  </si>
  <si>
    <t xml:space="preserve">Sky Valet Málaga</t>
  </si>
  <si>
    <t xml:space="preserve">Jetex Málaga</t>
  </si>
  <si>
    <t xml:space="preserve">Jetex (UAE-based)</t>
  </si>
  <si>
    <t xml:space="preserve">Global group with own proprietary ops platform.</t>
  </si>
  <si>
    <t xml:space="preserve">Alicante</t>
  </si>
  <si>
    <t xml:space="preserve">Alicante-Elche</t>
  </si>
  <si>
    <t xml:space="preserve">LEAL</t>
  </si>
  <si>
    <t xml:space="preserve">ALC</t>
  </si>
  <si>
    <t xml:space="preserve">Station Mgr: Víctor San Román Zabala. First Spanish GA handler authorised for TowFLEXX TF5.</t>
  </si>
  <si>
    <t xml:space="preserve">Aviapartner Alicante</t>
  </si>
  <si>
    <t xml:space="preserve">Girona</t>
  </si>
  <si>
    <t xml:space="preserve">Girona-Costa Brava</t>
  </si>
  <si>
    <t xml:space="preserve">LEGE</t>
  </si>
  <si>
    <t xml:space="preserve">GRO</t>
  </si>
  <si>
    <t xml:space="preserve">ExecuJet Girona</t>
  </si>
  <si>
    <t xml:space="preserve">Sky Valet Girona</t>
  </si>
  <si>
    <t xml:space="preserve">Granada</t>
  </si>
  <si>
    <t xml:space="preserve">FGL Granada Jaén</t>
  </si>
  <si>
    <t xml:space="preserve">LEGR</t>
  </si>
  <si>
    <t xml:space="preserve">GRX</t>
  </si>
  <si>
    <t xml:space="preserve">Santiago de Compostela</t>
  </si>
  <si>
    <t xml:space="preserve">Santiago-Rosalía de Castro</t>
  </si>
  <si>
    <t xml:space="preserve">LEST</t>
  </si>
  <si>
    <t xml:space="preserve">SCQ</t>
  </si>
  <si>
    <t xml:space="preserve">Sky Valet Santiago</t>
  </si>
  <si>
    <t xml:space="preserve">WFS Santiago</t>
  </si>
  <si>
    <t xml:space="preserve">Commercial + Cargo</t>
  </si>
  <si>
    <t xml:space="preserve">WFS</t>
  </si>
  <si>
    <t xml:space="preserve">New from 2023 license round.</t>
  </si>
  <si>
    <t xml:space="preserve">A Coruña</t>
  </si>
  <si>
    <t xml:space="preserve">A Coruña Airport</t>
  </si>
  <si>
    <t xml:space="preserve">LECO</t>
  </si>
  <si>
    <t xml:space="preserve">LCG</t>
  </si>
  <si>
    <t xml:space="preserve">Sky Valet A Coruña</t>
  </si>
  <si>
    <t xml:space="preserve">Seville</t>
  </si>
  <si>
    <t xml:space="preserve">Seville Airport</t>
  </si>
  <si>
    <t xml:space="preserve">LEZL</t>
  </si>
  <si>
    <t xml:space="preserve">SVQ</t>
  </si>
  <si>
    <t xml:space="preserve">WFS Seville</t>
  </si>
  <si>
    <t xml:space="preserve">Won 2023 tender for full passenger + ramp.</t>
  </si>
  <si>
    <t xml:space="preserve">Vitoria</t>
  </si>
  <si>
    <t xml:space="preserve">Vitoria Airport</t>
  </si>
  <si>
    <t xml:space="preserve">LEVT</t>
  </si>
  <si>
    <t xml:space="preserve">VIT</t>
  </si>
  <si>
    <t xml:space="preserve">WFS Vitoria</t>
  </si>
  <si>
    <t xml:space="preserve">Cargo freighter ramp</t>
  </si>
  <si>
    <t xml:space="preserve">Freighter-only ramp handling — cargo-focused station.</t>
  </si>
  <si>
    <t xml:space="preserve">Menorca</t>
  </si>
  <si>
    <t xml:space="preserve">Menorca Airport</t>
  </si>
  <si>
    <t xml:space="preserve">LEMH</t>
  </si>
  <si>
    <t xml:space="preserve">MAH</t>
  </si>
  <si>
    <t xml:space="preserve">Aviapartner Menorca</t>
  </si>
  <si>
    <t xml:space="preserve">Tenerife</t>
  </si>
  <si>
    <t xml:space="preserve">Tenerife South</t>
  </si>
  <si>
    <t xml:space="preserve">GCTS</t>
  </si>
  <si>
    <t xml:space="preserve">TFS</t>
  </si>
  <si>
    <t xml:space="preserve">Groundforce Tenerife</t>
  </si>
  <si>
    <t xml:space="preserve">Globalia</t>
  </si>
  <si>
    <t xml:space="preserve">Part of group</t>
  </si>
  <si>
    <t xml:space="preserve">Canaries are heavily charter/ULCC — high-volume, lean-margin, strong operational-tooling fit.</t>
  </si>
  <si>
    <t xml:space="preserve">Italy</t>
  </si>
  <si>
    <t xml:space="preserve">Milan</t>
  </si>
  <si>
    <t xml:space="preserve">Milan Malpensa</t>
  </si>
  <si>
    <t xml:space="preserve">LIMC</t>
  </si>
  <si>
    <t xml:space="preserve">MXP</t>
  </si>
  <si>
    <t xml:space="preserve">Airport Handling S.p.A.</t>
  </si>
  <si>
    <t xml:space="preserve">dnata (now integrated under dnata brand, Nov 2025)</t>
  </si>
  <si>
    <t xml:space="preserve">~2,500+</t>
  </si>
  <si>
    <t xml:space="preserve">Previously independent, now part of dnata Italy consolidation. In transition — may be inheriting dnata tools, but integration noise = opportunity for point solutions.</t>
  </si>
  <si>
    <t xml:space="preserve">GH Italia (Malpensa station)</t>
  </si>
  <si>
    <t xml:space="preserve">Alisud Group (private, independent)</t>
  </si>
  <si>
    <t xml:space="preserve">Not disclosed per station</t>
  </si>
  <si>
    <t xml:space="preserve">Largest Italian independent. Covers ~11 Italian airports + LHR. Flagship independent prospect.</t>
  </si>
  <si>
    <t xml:space="preserve">Milan Linate</t>
  </si>
  <si>
    <t xml:space="preserve">LIML</t>
  </si>
  <si>
    <t xml:space="preserve">LIN</t>
  </si>
  <si>
    <t xml:space="preserve">Universal Aviation Milan</t>
  </si>
  <si>
    <t xml:space="preserve">FBO supervisory</t>
  </si>
  <si>
    <t xml:space="preserve">Universal Weather (US parent)</t>
  </si>
  <si>
    <t xml:space="preserve">Biz-av supervisory agent. First company in Italy dedicated to GA/biz av. IS-BAH certified.</t>
  </si>
  <si>
    <t xml:space="preserve">Rome</t>
  </si>
  <si>
    <t xml:space="preserve">Rome Fiumicino</t>
  </si>
  <si>
    <t xml:space="preserve">LIRF</t>
  </si>
  <si>
    <t xml:space="preserve">FCO</t>
  </si>
  <si>
    <t xml:space="preserve">GH Italia Fiumicino</t>
  </si>
  <si>
    <t xml:space="preserve">Alisud</t>
  </si>
  <si>
    <t xml:space="preserve">Rome Ciampino</t>
  </si>
  <si>
    <t xml:space="preserve">LIRA</t>
  </si>
  <si>
    <t xml:space="preserve">CIA</t>
  </si>
  <si>
    <t xml:space="preserve">GH Italia Ciampino</t>
  </si>
  <si>
    <t xml:space="preserve">Handler + biz-av</t>
  </si>
  <si>
    <t xml:space="preserve">CIA is Rome's biz-av hub — mixed traffic including heavy private/charter.</t>
  </si>
  <si>
    <t xml:space="preserve">Universal Aviation Rome</t>
  </si>
  <si>
    <t xml:space="preserve">Universal Weather</t>
  </si>
  <si>
    <t xml:space="preserve">IS-BAH certified.</t>
  </si>
  <si>
    <t xml:space="preserve">Venice</t>
  </si>
  <si>
    <t xml:space="preserve">Venice Marco Polo</t>
  </si>
  <si>
    <t xml:space="preserve">LIPZ</t>
  </si>
  <si>
    <t xml:space="preserve">VCE</t>
  </si>
  <si>
    <t xml:space="preserve">GH Italia Venice</t>
  </si>
  <si>
    <t xml:space="preserve">Universal Aviation Venice</t>
  </si>
  <si>
    <t xml:space="preserve">Naples</t>
  </si>
  <si>
    <t xml:space="preserve">Naples Capodichino</t>
  </si>
  <si>
    <t xml:space="preserve">LIRN</t>
  </si>
  <si>
    <t xml:space="preserve">NAP</t>
  </si>
  <si>
    <t xml:space="preserve">GH Italia Naples</t>
  </si>
  <si>
    <t xml:space="preserve">Alisud's home base — origin of the GH Italia spin-off.</t>
  </si>
  <si>
    <t xml:space="preserve">Verona</t>
  </si>
  <si>
    <t xml:space="preserve">Verona Villafranca</t>
  </si>
  <si>
    <t xml:space="preserve">LIPX</t>
  </si>
  <si>
    <t xml:space="preserve">VRN</t>
  </si>
  <si>
    <t xml:space="preserve">GH Italia Verona</t>
  </si>
  <si>
    <t xml:space="preserve">Florence</t>
  </si>
  <si>
    <t xml:space="preserve">Florence Peretola</t>
  </si>
  <si>
    <t xml:space="preserve">LIRQ</t>
  </si>
  <si>
    <t xml:space="preserve">FLR</t>
  </si>
  <si>
    <t xml:space="preserve">GH Italia Florence</t>
  </si>
  <si>
    <t xml:space="preserve">Palermo</t>
  </si>
  <si>
    <t xml:space="preserve">Palermo Falcone-Borsellino</t>
  </si>
  <si>
    <t xml:space="preserve">LICJ</t>
  </si>
  <si>
    <t xml:space="preserve">PMO</t>
  </si>
  <si>
    <t xml:space="preserve">GH Italia Palermo</t>
  </si>
  <si>
    <t xml:space="preserve">Catania</t>
  </si>
  <si>
    <t xml:space="preserve">Catania Fontanarossa</t>
  </si>
  <si>
    <t xml:space="preserve">LICC</t>
  </si>
  <si>
    <t xml:space="preserve">CTA</t>
  </si>
  <si>
    <t xml:space="preserve">GH Italia Catania</t>
  </si>
  <si>
    <t xml:space="preserve">Bologna</t>
  </si>
  <si>
    <t xml:space="preserve">Bologna Borgo Panigale</t>
  </si>
  <si>
    <t xml:space="preserve">LIPE</t>
  </si>
  <si>
    <t xml:space="preserve">BLQ</t>
  </si>
  <si>
    <t xml:space="preserve">GH Italia Bologna</t>
  </si>
  <si>
    <t xml:space="preserve">Cagliari</t>
  </si>
  <si>
    <t xml:space="preserve">Cagliari Elmas</t>
  </si>
  <si>
    <t xml:space="preserve">LIEE</t>
  </si>
  <si>
    <t xml:space="preserve">CAG</t>
  </si>
  <si>
    <t xml:space="preserve">GH Italia Cagliari</t>
  </si>
  <si>
    <t xml:space="preserve">Bari</t>
  </si>
  <si>
    <t xml:space="preserve">Bari Karol Wojtyła</t>
  </si>
  <si>
    <t xml:space="preserve">LIBD</t>
  </si>
  <si>
    <t xml:space="preserve">BRI</t>
  </si>
  <si>
    <t xml:space="preserve">GH Italia Bari</t>
  </si>
  <si>
    <t xml:space="preserve">Brindisi</t>
  </si>
  <si>
    <t xml:space="preserve">Brindisi Salento</t>
  </si>
  <si>
    <t xml:space="preserve">LIBR</t>
  </si>
  <si>
    <t xml:space="preserve">BDS</t>
  </si>
  <si>
    <t xml:space="preserve">GH Italia Brindisi</t>
  </si>
  <si>
    <t xml:space="preserve">Cuneo (Turin area)</t>
  </si>
  <si>
    <t xml:space="preserve">Cuneo-Levaldigi</t>
  </si>
  <si>
    <t xml:space="preserve">LIMZ</t>
  </si>
  <si>
    <t xml:space="preserve">CUF</t>
  </si>
  <si>
    <t xml:space="preserve">Sky Valet Connect Cuneo</t>
  </si>
  <si>
    <t xml:space="preserve">Sky Valet Connect franchise (independent)</t>
  </si>
  <si>
    <t xml:space="preserve">First Sky Valet Connect member — independent FBO using the ACA brand.</t>
  </si>
  <si>
    <t xml:space="preserve">France</t>
  </si>
  <si>
    <t xml:space="preserve">Paris</t>
  </si>
  <si>
    <t xml:space="preserve">Paris–Le Bourget</t>
  </si>
  <si>
    <t xml:space="preserve">LFPB</t>
  </si>
  <si>
    <t xml:space="preserve">LBG</t>
  </si>
  <si>
    <t xml:space="preserve">Sky Valet Paris-Le Bourget</t>
  </si>
  <si>
    <t xml:space="preserve">Luxaviation (acquired from ACA 2020)</t>
  </si>
  <si>
    <t xml:space="preserve">Europe's #1 biz-av airport. ~6,000 movements/yr under ACA; ~12% share at acquisition. Now part of Luxaviation ExecuJet network.</t>
  </si>
  <si>
    <t xml:space="preserve">Advanced Air Support (AAS)</t>
  </si>
  <si>
    <t xml:space="preserve">~15% of Le Bourget private aviation traffic. Joined Sky Valet Connect — kept independence, manages own equipment fleet. STRONG INDEPENDENT PROSPECT.</t>
  </si>
  <si>
    <t xml:space="preserve">Jetex Le Bourget</t>
  </si>
  <si>
    <t xml:space="preserve">Jetex (UAE)</t>
  </si>
  <si>
    <t xml:space="preserve">Five-star rated FBO.</t>
  </si>
  <si>
    <t xml:space="preserve">Nice</t>
  </si>
  <si>
    <t xml:space="preserve">Nice Côte d'Azur</t>
  </si>
  <si>
    <t xml:space="preserve">LFMN</t>
  </si>
  <si>
    <t xml:space="preserve">NCE</t>
  </si>
  <si>
    <t xml:space="preserve">Aviapartner Nice</t>
  </si>
  <si>
    <t xml:space="preserve">Cannes</t>
  </si>
  <si>
    <t xml:space="preserve">Cannes-Mandelieu</t>
  </si>
  <si>
    <t xml:space="preserve">LFMD</t>
  </si>
  <si>
    <t xml:space="preserve">CEQ</t>
  </si>
  <si>
    <t xml:space="preserve">Sky Valet Cannes Mandelieu</t>
  </si>
  <si>
    <t xml:space="preserve">Sky Valet flagship. Film Festival + Monaco GP peaks. Highly digital.</t>
  </si>
  <si>
    <t xml:space="preserve">Saint-Tropez</t>
  </si>
  <si>
    <t xml:space="preserve">Golfe de Saint-Tropez (La Môle)</t>
  </si>
  <si>
    <t xml:space="preserve">LFTZ</t>
  </si>
  <si>
    <t xml:space="preserve">LTT</t>
  </si>
  <si>
    <t xml:space="preserve">Sky Valet Saint-Tropez</t>
  </si>
  <si>
    <t xml:space="preserve">Avignon</t>
  </si>
  <si>
    <t xml:space="preserve">Avignon-Provence</t>
  </si>
  <si>
    <t xml:space="preserve">LFMV</t>
  </si>
  <si>
    <t xml:space="preserve">AVN</t>
  </si>
  <si>
    <t xml:space="preserve">Sky Valet Avignon</t>
  </si>
  <si>
    <t xml:space="preserve">Biarritz</t>
  </si>
  <si>
    <t xml:space="preserve">Biarritz-Pays Basque</t>
  </si>
  <si>
    <t xml:space="preserve">LFBZ</t>
  </si>
  <si>
    <t xml:space="preserve">BIQ</t>
  </si>
  <si>
    <t xml:space="preserve">Sky Valet Biarritz</t>
  </si>
  <si>
    <t xml:space="preserve">Caen</t>
  </si>
  <si>
    <t xml:space="preserve">Caen-Carpiquet</t>
  </si>
  <si>
    <t xml:space="preserve">LFRK</t>
  </si>
  <si>
    <t xml:space="preserve">CFR</t>
  </si>
  <si>
    <t xml:space="preserve">Sky Valet Caen</t>
  </si>
  <si>
    <t xml:space="preserve">Courchevel</t>
  </si>
  <si>
    <t xml:space="preserve">Courchevel Altiport</t>
  </si>
  <si>
    <t xml:space="preserve">LFLJ</t>
  </si>
  <si>
    <t xml:space="preserve">CVF</t>
  </si>
  <si>
    <t xml:space="preserve">Sky Valet Courchevel</t>
  </si>
  <si>
    <t xml:space="preserve">FBO seasonal</t>
  </si>
  <si>
    <t xml:space="preserve">Small seasonal team</t>
  </si>
  <si>
    <t xml:space="preserve">Winter-only altiport. Highly seasonal op — good case for lightweight saas.</t>
  </si>
  <si>
    <t xml:space="preserve">Deauville</t>
  </si>
  <si>
    <t xml:space="preserve">Deauville-Normandie</t>
  </si>
  <si>
    <t xml:space="preserve">LFRG</t>
  </si>
  <si>
    <t xml:space="preserve">DOL</t>
  </si>
  <si>
    <t xml:space="preserve">Sky Valet Deauville</t>
  </si>
  <si>
    <t xml:space="preserve">Quimper</t>
  </si>
  <si>
    <t xml:space="preserve">Quimper Bretagne</t>
  </si>
  <si>
    <t xml:space="preserve">LFRQ</t>
  </si>
  <si>
    <t xml:space="preserve">UIP</t>
  </si>
  <si>
    <t xml:space="preserve">Sky Valet Quimper</t>
  </si>
  <si>
    <t xml:space="preserve">Rodez</t>
  </si>
  <si>
    <t xml:space="preserve">Rodez-Aveyron</t>
  </si>
  <si>
    <t xml:space="preserve">LFCR</t>
  </si>
  <si>
    <t xml:space="preserve">RDZ</t>
  </si>
  <si>
    <t xml:space="preserve">Sky Valet Rodez</t>
  </si>
  <si>
    <t xml:space="preserve">Saint-Étienne</t>
  </si>
  <si>
    <t xml:space="preserve">Saint-Étienne-Loire</t>
  </si>
  <si>
    <t xml:space="preserve">LFMH</t>
  </si>
  <si>
    <t xml:space="preserve">EBU</t>
  </si>
  <si>
    <t xml:space="preserve">Sky Valet Saint-Étienne</t>
  </si>
  <si>
    <t xml:space="preserve">Marseille</t>
  </si>
  <si>
    <t xml:space="preserve">Marseille-Provence</t>
  </si>
  <si>
    <t xml:space="preserve">LFML</t>
  </si>
  <si>
    <t xml:space="preserve">MRS</t>
  </si>
  <si>
    <t xml:space="preserve">Aviapartner Marseille</t>
  </si>
  <si>
    <t xml:space="preserve">Jetex Marseille</t>
  </si>
  <si>
    <t xml:space="preserve">Jetex</t>
  </si>
  <si>
    <t xml:space="preserve">Toulouse</t>
  </si>
  <si>
    <t xml:space="preserve">Toulouse-Blagnac</t>
  </si>
  <si>
    <t xml:space="preserve">LFBO</t>
  </si>
  <si>
    <t xml:space="preserve">TLS</t>
  </si>
  <si>
    <t xml:space="preserve">Aviapartner Toulouse</t>
  </si>
  <si>
    <t xml:space="preserve">Jetex Toulouse</t>
  </si>
  <si>
    <t xml:space="preserve">Bordeaux</t>
  </si>
  <si>
    <t xml:space="preserve">Bordeaux-Mérignac</t>
  </si>
  <si>
    <t xml:space="preserve">LFBD</t>
  </si>
  <si>
    <t xml:space="preserve">BOD</t>
  </si>
  <si>
    <t xml:space="preserve">Aviapartner Bordeaux</t>
  </si>
  <si>
    <t xml:space="preserve">Acquired from SAT Bordeaux in 2010. Also covers La Rochelle.</t>
  </si>
  <si>
    <t xml:space="preserve">La Rochelle</t>
  </si>
  <si>
    <t xml:space="preserve">La Rochelle-Île de Ré</t>
  </si>
  <si>
    <t xml:space="preserve">LFBH</t>
  </si>
  <si>
    <t xml:space="preserve">LRH</t>
  </si>
  <si>
    <t xml:space="preserve">Aviapartner La Rochelle</t>
  </si>
  <si>
    <t xml:space="preserve">Small station</t>
  </si>
  <si>
    <t xml:space="preserve">Chambéry</t>
  </si>
  <si>
    <t xml:space="preserve">Chambéry-Savoie</t>
  </si>
  <si>
    <t xml:space="preserve">LFLB</t>
  </si>
  <si>
    <t xml:space="preserve">CMF</t>
  </si>
  <si>
    <t xml:space="preserve">Airport operator handling</t>
  </si>
  <si>
    <t xml:space="preserve">Chambéry Airport SA</t>
  </si>
  <si>
    <t xml:space="preserve">Winter-slot-coordinated. Ski-season crunch — huge turn-volume for ~14 weeks.</t>
  </si>
  <si>
    <t xml:space="preserve">Annecy</t>
  </si>
  <si>
    <t xml:space="preserve">Annecy-Haute-Savoie</t>
  </si>
  <si>
    <t xml:space="preserve">LFLP</t>
  </si>
  <si>
    <t xml:space="preserve">NCY</t>
  </si>
  <si>
    <t xml:space="preserve">Annecy Airport</t>
  </si>
  <si>
    <t xml:space="preserve">Small</t>
  </si>
  <si>
    <t xml:space="preserve">Winter-slot-coordinated.</t>
  </si>
  <si>
    <t xml:space="preserve">Germany</t>
  </si>
  <si>
    <t xml:space="preserve">Hannover</t>
  </si>
  <si>
    <t xml:space="preserve">Hannover Airport</t>
  </si>
  <si>
    <t xml:space="preserve">EDDV</t>
  </si>
  <si>
    <t xml:space="preserve">HAJ</t>
  </si>
  <si>
    <t xml:space="preserve">AHS Hannover</t>
  </si>
  <si>
    <t xml:space="preserve">AHS Aviation Handling Services (independent)</t>
  </si>
  <si>
    <t xml:space="preserve">Not disclosed (~21,000 flights/yr, 2.1M pax in 2017)</t>
  </si>
  <si>
    <t xml:space="preserve">AHS is THE largest German independent handler — serves HAJ, DUS, HAM, STR (via SGS), BRE, NUE partner. Clear dashboard prospect.</t>
  </si>
  <si>
    <t xml:space="preserve">Düsseldorf</t>
  </si>
  <si>
    <t xml:space="preserve">Düsseldorf Airport</t>
  </si>
  <si>
    <t xml:space="preserve">EDDL</t>
  </si>
  <si>
    <t xml:space="preserve">DUS</t>
  </si>
  <si>
    <t xml:space="preserve">AHS Düsseldorf + AHS EuroGround</t>
  </si>
  <si>
    <t xml:space="preserve">AHS</t>
  </si>
  <si>
    <t xml:space="preserve">~82,000 flights, 9.5M pax in 2017</t>
  </si>
  <si>
    <t xml:space="preserve">Handling Condor, Emirates, Eurowings, Swiss, TK, Tuifly, ANA, Delta and more. Major operation.</t>
  </si>
  <si>
    <t xml:space="preserve">Hamburg</t>
  </si>
  <si>
    <t xml:space="preserve">Hamburg Airport</t>
  </si>
  <si>
    <t xml:space="preserve">EDDH</t>
  </si>
  <si>
    <t xml:space="preserve">HAM</t>
  </si>
  <si>
    <t xml:space="preserve">AHS Hamburg</t>
  </si>
  <si>
    <t xml:space="preserve">Austrian, Condor, Emirates, Ryanair, Swiss, Tuifly, Turkish + more.</t>
  </si>
  <si>
    <t xml:space="preserve">Stuttgart</t>
  </si>
  <si>
    <t xml:space="preserve">Stuttgart Airport</t>
  </si>
  <si>
    <t xml:space="preserve">EDDS</t>
  </si>
  <si>
    <t xml:space="preserve">STR</t>
  </si>
  <si>
    <t xml:space="preserve">SGS Stuttgart Ground Services</t>
  </si>
  <si>
    <t xml:space="preserve">49% AHS / 51% airport (FSG)</t>
  </si>
  <si>
    <t xml:space="preserve">JV structure common in DE — both parent groups could influence tool choice.</t>
  </si>
  <si>
    <t xml:space="preserve">Kurz Aviation Service (KAS)</t>
  </si>
  <si>
    <t xml:space="preserve">Kurz Aviation Group (independent)</t>
  </si>
  <si>
    <t xml:space="preserve">25+ yr experience. Partner with ExecuJet + Jet Aviation + Air Elite network. Operates BAC Frankfurt + BAC Cologne too.</t>
  </si>
  <si>
    <t xml:space="preserve">Nuremberg</t>
  </si>
  <si>
    <t xml:space="preserve">Nuremberg Airport</t>
  </si>
  <si>
    <t xml:space="preserve">EDDN</t>
  </si>
  <si>
    <t xml:space="preserve">NUE</t>
  </si>
  <si>
    <t xml:space="preserve">AirPart Nuremberg</t>
  </si>
  <si>
    <t xml:space="preserve">Nuremberg Airport (owns 1% of AHS)</t>
  </si>
  <si>
    <t xml:space="preserve">Airport-owned handler. Local marketing partner for AHS.</t>
  </si>
  <si>
    <t xml:space="preserve">Bremen</t>
  </si>
  <si>
    <t xml:space="preserve">Bremen Airport</t>
  </si>
  <si>
    <t xml:space="preserve">EDDW</t>
  </si>
  <si>
    <t xml:space="preserve">BRE</t>
  </si>
  <si>
    <t xml:space="preserve">AHS Bremen</t>
  </si>
  <si>
    <t xml:space="preserve">Air France, KLM Cityhopper, Lufthansa, Ryanair, Turkish.</t>
  </si>
  <si>
    <t xml:space="preserve">Leipzig</t>
  </si>
  <si>
    <t xml:space="preserve">Leipzig/Halle Airport</t>
  </si>
  <si>
    <t xml:space="preserve">EDDP</t>
  </si>
  <si>
    <t xml:space="preserve">LEJ</t>
  </si>
  <si>
    <t xml:space="preserve">ASL Airport Services Leipzig</t>
  </si>
  <si>
    <t xml:space="preserve">Independent, AHS partner</t>
  </si>
  <si>
    <t xml:space="preserve">Leading handler at LEJ. P&amp;O for Lufthansa + others. Major DHL cargo hub.</t>
  </si>
  <si>
    <t xml:space="preserve">Dresden</t>
  </si>
  <si>
    <t xml:space="preserve">Dresden Airport</t>
  </si>
  <si>
    <t xml:space="preserve">EDDC</t>
  </si>
  <si>
    <t xml:space="preserve">DRS</t>
  </si>
  <si>
    <t xml:space="preserve">ASD Airport Services Dresden</t>
  </si>
  <si>
    <t xml:space="preserve">Frankfurt</t>
  </si>
  <si>
    <t xml:space="preserve">Frankfurt am Main</t>
  </si>
  <si>
    <t xml:space="preserve">EDDF</t>
  </si>
  <si>
    <t xml:space="preserve">FRA</t>
  </si>
  <si>
    <t xml:space="preserve">Business Aviation Centre Frankfurt (BAC)</t>
  </si>
  <si>
    <t xml:space="preserve">Kurz Aviation Group</t>
  </si>
  <si>
    <t xml:space="preserve">ExecuJet + Jet Aviation + Air Elite partner. Modern biz-av FBO.</t>
  </si>
  <si>
    <t xml:space="preserve">Cologne</t>
  </si>
  <si>
    <t xml:space="preserve">Cologne/Bonn Airport</t>
  </si>
  <si>
    <t xml:space="preserve">EDDK</t>
  </si>
  <si>
    <t xml:space="preserve">CGN</t>
  </si>
  <si>
    <t xml:space="preserve">Business Aviation Centre Cologne</t>
  </si>
  <si>
    <t xml:space="preserve">Portugal</t>
  </si>
  <si>
    <t xml:space="preserve">Lisbon</t>
  </si>
  <si>
    <t xml:space="preserve">Humberto Delgado (Lisbon)</t>
  </si>
  <si>
    <t xml:space="preserve">LPPT</t>
  </si>
  <si>
    <t xml:space="preserve">LIS</t>
  </si>
  <si>
    <t xml:space="preserve">Portway</t>
  </si>
  <si>
    <t xml:space="preserve">Handler + FBO</t>
  </si>
  <si>
    <t xml:space="preserve">Commercial + Biz Av</t>
  </si>
  <si>
    <t xml:space="preserve">ANA Aeroportos de Portugal (Vinci)</t>
  </si>
  <si>
    <t xml:space="preserve">~1,600</t>
  </si>
  <si>
    <t xml:space="preserve">THE national Portuguese handler. 80+ airline clients. IATA CBTA certified, IQF training certified. Revenue ~$86.5M. Vinci Airports ownership may centralise tooling decisions.</t>
  </si>
  <si>
    <t xml:space="preserve">Porto</t>
  </si>
  <si>
    <t xml:space="preserve">Porto (Sá Carneiro)</t>
  </si>
  <si>
    <t xml:space="preserve">LPPR</t>
  </si>
  <si>
    <t xml:space="preserve">OPO</t>
  </si>
  <si>
    <t xml:space="preserve">Portway Porto</t>
  </si>
  <si>
    <t xml:space="preserve">ANA/Vinci</t>
  </si>
  <si>
    <t xml:space="preserve">Part of ~1,600</t>
  </si>
  <si>
    <t xml:space="preserve">Sky Valet Porto</t>
  </si>
  <si>
    <t xml:space="preserve">Faro</t>
  </si>
  <si>
    <t xml:space="preserve">Faro Airport</t>
  </si>
  <si>
    <t xml:space="preserve">LPFR</t>
  </si>
  <si>
    <t xml:space="preserve">FAO</t>
  </si>
  <si>
    <t xml:space="preserve">Portway Faro</t>
  </si>
  <si>
    <t xml:space="preserve">Heavy seasonal charter — Algarve summer peak.</t>
  </si>
  <si>
    <t xml:space="preserve">Sky Valet Faro</t>
  </si>
  <si>
    <t xml:space="preserve">Funchal</t>
  </si>
  <si>
    <t xml:space="preserve">Madeira Airport</t>
  </si>
  <si>
    <t xml:space="preserve">LPMA</t>
  </si>
  <si>
    <t xml:space="preserve">FNC</t>
  </si>
  <si>
    <t xml:space="preserve">Portway Funchal</t>
  </si>
  <si>
    <t xml:space="preserve">Sky Valet Funchal</t>
  </si>
  <si>
    <t xml:space="preserve">Beja</t>
  </si>
  <si>
    <t xml:space="preserve">Beja Airport</t>
  </si>
  <si>
    <t xml:space="preserve">LPBJ</t>
  </si>
  <si>
    <t xml:space="preserve">BYJ</t>
  </si>
  <si>
    <t xml:space="preserve">Portway Beja</t>
  </si>
  <si>
    <t xml:space="preserve">Cascais</t>
  </si>
  <si>
    <t xml:space="preserve">Cascais (Tires)</t>
  </si>
  <si>
    <t xml:space="preserve">LPCS</t>
  </si>
  <si>
    <t xml:space="preserve">CAT</t>
  </si>
  <si>
    <t xml:space="preserve">Sky Valet Cascais</t>
  </si>
  <si>
    <t xml:space="preserve">Lisbon-area biz-av reliever. Active FBO.</t>
  </si>
  <si>
    <t xml:space="preserve">Ponta Delgada (Azores)</t>
  </si>
  <si>
    <t xml:space="preserve">João Paulo II</t>
  </si>
  <si>
    <t xml:space="preserve">LPPD</t>
  </si>
  <si>
    <t xml:space="preserve">PDL</t>
  </si>
  <si>
    <t xml:space="preserve">Sky Valet Ponta Delgada</t>
  </si>
  <si>
    <t xml:space="preserve">Santa Maria (Azores)</t>
  </si>
  <si>
    <t xml:space="preserve">Santa Maria Airport</t>
  </si>
  <si>
    <t xml:space="preserve">LPAZ</t>
  </si>
  <si>
    <t xml:space="preserve">SMA</t>
  </si>
  <si>
    <t xml:space="preserve">Sky Valet Santa Maria</t>
  </si>
  <si>
    <t xml:space="preserve">FBO tech stop</t>
  </si>
  <si>
    <t xml:space="preserve">Transatlantic tech-stop airport.</t>
  </si>
  <si>
    <t xml:space="preserve">Lajes (Azores)</t>
  </si>
  <si>
    <t xml:space="preserve">Lajes Field</t>
  </si>
  <si>
    <t xml:space="preserve">LPLA</t>
  </si>
  <si>
    <t xml:space="preserve">TER</t>
  </si>
  <si>
    <t xml:space="preserve">Sky Valet Lajes</t>
  </si>
  <si>
    <t xml:space="preserve">Greece</t>
  </si>
  <si>
    <t xml:space="preserve">Athens</t>
  </si>
  <si>
    <t xml:space="preserve">Athens International (Eleftherios Venizelos)</t>
  </si>
  <si>
    <t xml:space="preserve">LGAV</t>
  </si>
  <si>
    <t xml:space="preserve">ATH</t>
  </si>
  <si>
    <t xml:space="preserve">Goldair Handling</t>
  </si>
  <si>
    <t xml:space="preserve">Handler + FBO lounges</t>
  </si>
  <si>
    <t xml:space="preserve">Goldair Group (Greek independent)</t>
  </si>
  <si>
    <t xml:space="preserve">Not disclosed (~177,000 flights/yr across network in 2025)</t>
  </si>
  <si>
    <t xml:space="preserve">Serves 160+ airlines across Greece, Cyprus, Bulgaria, India, Serbia. ISO 9001/14001/22000/27001 certified. First org worldwide with certain cert. Strong modernisation signal.</t>
  </si>
  <si>
    <t xml:space="preserve">Athens International</t>
  </si>
  <si>
    <t xml:space="preserve">Skyserv Handling Services</t>
  </si>
  <si>
    <t xml:space="preserve">Skyserv (Greek)</t>
  </si>
  <si>
    <t xml:space="preserve">Operates at 37 Greek airports (Athens, Thessaloniki + islands). AOPA partner. Offers 'Melina Mercouri' + 'Aristotelis Onassis' lounges.</t>
  </si>
  <si>
    <t xml:space="preserve">Thessaloniki</t>
  </si>
  <si>
    <t xml:space="preserve">Thessaloniki (Makedonia)</t>
  </si>
  <si>
    <t xml:space="preserve">LGTS</t>
  </si>
  <si>
    <t xml:space="preserve">SKG</t>
  </si>
  <si>
    <t xml:space="preserve">Goldair Handling Thessaloniki</t>
  </si>
  <si>
    <t xml:space="preserve">Goldair</t>
  </si>
  <si>
    <t xml:space="preserve">Skyserv Thessaloniki</t>
  </si>
  <si>
    <t xml:space="preserve">Skyserv</t>
  </si>
  <si>
    <t xml:space="preserve">Heraklion (Crete)</t>
  </si>
  <si>
    <t xml:space="preserve">Heraklion (Nikos Kazantzakis)</t>
  </si>
  <si>
    <t xml:space="preserve">LGIR</t>
  </si>
  <si>
    <t xml:space="preserve">HER</t>
  </si>
  <si>
    <t xml:space="preserve">Goldair + Skyserv + Swissport</t>
  </si>
  <si>
    <t xml:space="preserve">Multiple</t>
  </si>
  <si>
    <t xml:space="preserve">Three-handler airport. Heavy seasonal leisure.</t>
  </si>
  <si>
    <t xml:space="preserve">Chania (Crete)</t>
  </si>
  <si>
    <t xml:space="preserve">Chania (Daskalogiannis)</t>
  </si>
  <si>
    <t xml:space="preserve">LGSA</t>
  </si>
  <si>
    <t xml:space="preserve">CHQ</t>
  </si>
  <si>
    <t xml:space="preserve">Mykonos</t>
  </si>
  <si>
    <t xml:space="preserve">Mykonos Airport</t>
  </si>
  <si>
    <t xml:space="preserve">LGMK</t>
  </si>
  <si>
    <t xml:space="preserve">JMK</t>
  </si>
  <si>
    <t xml:space="preserve">Major summer biz-av destination. CIP lounge operated by Goldair w/ HACCP cert.</t>
  </si>
  <si>
    <t xml:space="preserve">Santorini</t>
  </si>
  <si>
    <t xml:space="preserve">Santorini (Thira)</t>
  </si>
  <si>
    <t xml:space="preserve">LGSR</t>
  </si>
  <si>
    <t xml:space="preserve">JTR</t>
  </si>
  <si>
    <t xml:space="preserve">Rhodes</t>
  </si>
  <si>
    <t xml:space="preserve">Rhodes (Diagoras)</t>
  </si>
  <si>
    <t xml:space="preserve">LGRP</t>
  </si>
  <si>
    <t xml:space="preserve">RHO</t>
  </si>
  <si>
    <t xml:space="preserve">Corfu</t>
  </si>
  <si>
    <t xml:space="preserve">Corfu (Kapodistrias)</t>
  </si>
  <si>
    <t xml:space="preserve">LGKR</t>
  </si>
  <si>
    <t xml:space="preserve">CFU</t>
  </si>
  <si>
    <t xml:space="preserve">Kos</t>
  </si>
  <si>
    <t xml:space="preserve">Kos (Ippokratis)</t>
  </si>
  <si>
    <t xml:space="preserve">LGKO</t>
  </si>
  <si>
    <t xml:space="preserve">KGS</t>
  </si>
  <si>
    <t xml:space="preserve">Skiathos</t>
  </si>
  <si>
    <t xml:space="preserve">Skiathos (Papadiamantis)</t>
  </si>
  <si>
    <t xml:space="preserve">LGSK</t>
  </si>
  <si>
    <t xml:space="preserve">JSI</t>
  </si>
  <si>
    <t xml:space="preserve">Paros</t>
  </si>
  <si>
    <t xml:space="preserve">Paros Airport</t>
  </si>
  <si>
    <t xml:space="preserve">LGPA</t>
  </si>
  <si>
    <t xml:space="preserve">PAS</t>
  </si>
  <si>
    <t xml:space="preserve">Universal Aviation Greece</t>
  </si>
  <si>
    <t xml:space="preserve">Universal Weather (US)</t>
  </si>
  <si>
    <t xml:space="preserve">UK</t>
  </si>
  <si>
    <t xml:space="preserve">Manchester</t>
  </si>
  <si>
    <t xml:space="preserve">Manchester Airport</t>
  </si>
  <si>
    <t xml:space="preserve">EGCC</t>
  </si>
  <si>
    <t xml:space="preserve">MAN</t>
  </si>
  <si>
    <t xml:space="preserve">DHL Aviation Services (easyJet handling)</t>
  </si>
  <si>
    <t xml:space="preserve">DHL Supply Chain</t>
  </si>
  <si>
    <t xml:space="preserve">Took over ~500 easyJet flights/wk at MAN from 2019. DHL is a global group but ground handling is a discrete UK P&amp;L.</t>
  </si>
  <si>
    <t xml:space="preserve">aether – The Private Terminal</t>
  </si>
  <si>
    <t xml:space="preserve">Newer FBO, premium positioning. Smaller independent — early-adopter profile.</t>
  </si>
  <si>
    <t xml:space="preserve">Birmingham</t>
  </si>
  <si>
    <t xml:space="preserve">Birmingham Airport</t>
  </si>
  <si>
    <t xml:space="preserve">EGBB</t>
  </si>
  <si>
    <t xml:space="preserve">BHX</t>
  </si>
  <si>
    <t xml:space="preserve">DHL Aviation Services</t>
  </si>
  <si>
    <t xml:space="preserve">DHL</t>
  </si>
  <si>
    <t xml:space="preserve">Bristol</t>
  </si>
  <si>
    <t xml:space="preserve">Bristol Airport</t>
  </si>
  <si>
    <t xml:space="preserve">EGGD</t>
  </si>
  <si>
    <t xml:space="preserve">BRS</t>
  </si>
  <si>
    <t xml:space="preserve">Not disclosed (~700 easyJet flights/wk)</t>
  </si>
  <si>
    <t xml:space="preserve">East Midlands</t>
  </si>
  <si>
    <t xml:space="preserve">East Midlands (Castle Donington)</t>
  </si>
  <si>
    <t xml:space="preserve">EGNX</t>
  </si>
  <si>
    <t xml:space="preserve">EMA</t>
  </si>
  <si>
    <t xml:space="preserve">Advantage Flight Support (AFSL)</t>
  </si>
  <si>
    <t xml:space="preserve">Handles biz-av at EMA. Cross-services LTN, STN, LBA, DSA, BHX, MAN, GLA. STRONG INDEPENDENT PROSPECT.</t>
  </si>
  <si>
    <t xml:space="preserve">London area</t>
  </si>
  <si>
    <t xml:space="preserve">Various (LTN, STN, LBA, DSA)</t>
  </si>
  <si>
    <t xml:space="preserve">various</t>
  </si>
  <si>
    <t xml:space="preserve">Advantage Flight Support (extended network)</t>
  </si>
  <si>
    <t xml:space="preserve">Supervisory services across UK regional airports.</t>
  </si>
  <si>
    <t xml:space="preserve">Denmark</t>
  </si>
  <si>
    <t xml:space="preserve">Copenhagen</t>
  </si>
  <si>
    <t xml:space="preserve">Copenhagen Kastrup</t>
  </si>
  <si>
    <t xml:space="preserve">EKCH</t>
  </si>
  <si>
    <t xml:space="preserve">CPH</t>
  </si>
  <si>
    <t xml:space="preserve">Aviator Denmark</t>
  </si>
  <si>
    <t xml:space="preserve">Handler + lounges</t>
  </si>
  <si>
    <t xml:space="preserve">Nordic Aviator Airport Alliance (independent)</t>
  </si>
  <si>
    <t xml:space="preserve">~27,000 turnarounds/yr (2022)</t>
  </si>
  <si>
    <t xml:space="preserve">Largest independent handler in Nordics. Operates across 15 airports in DK/SE/NO/FI. Recently expanded with Air France-KLM. Two business lounges at CPH. Uses NORDIC DINO Aircraft Washing Robot — innovation-friendly.</t>
  </si>
  <si>
    <t xml:space="preserve">SAS Ground Handling Denmark</t>
  </si>
  <si>
    <t xml:space="preserve">SAS Group</t>
  </si>
  <si>
    <t xml:space="preserve">Part of ~several thousand Nordic-wide</t>
  </si>
  <si>
    <t xml:space="preserve">SAS-owned, primary handler for SAS + third parties. SGH serves CPH, OSL, ARN. Large legacy handler.</t>
  </si>
  <si>
    <t xml:space="preserve">Sweden</t>
  </si>
  <si>
    <t xml:space="preserve">Stockholm</t>
  </si>
  <si>
    <t xml:space="preserve">Stockholm Arlanda</t>
  </si>
  <si>
    <t xml:space="preserve">ESSA</t>
  </si>
  <si>
    <t xml:space="preserve">ARN</t>
  </si>
  <si>
    <t xml:space="preserve">Aviator Sweden</t>
  </si>
  <si>
    <t xml:space="preserve">Aviator</t>
  </si>
  <si>
    <t xml:space="preserve">Also covers Gothenburg + Malmö. Expanded ARN contract with AF/KL 2025.</t>
  </si>
  <si>
    <t xml:space="preserve">SAS Ground Handling Sweden</t>
  </si>
  <si>
    <t xml:space="preserve">SAS</t>
  </si>
  <si>
    <t xml:space="preserve">Gothenburg</t>
  </si>
  <si>
    <t xml:space="preserve">Göteborg Landvetter</t>
  </si>
  <si>
    <t xml:space="preserve">ESGG</t>
  </si>
  <si>
    <t xml:space="preserve">GOT</t>
  </si>
  <si>
    <t xml:space="preserve">Malmö</t>
  </si>
  <si>
    <t xml:space="preserve">Malmö Airport</t>
  </si>
  <si>
    <t xml:space="preserve">ESMS</t>
  </si>
  <si>
    <t xml:space="preserve">MMX</t>
  </si>
  <si>
    <t xml:space="preserve">Smaller station</t>
  </si>
  <si>
    <t xml:space="preserve">Norway</t>
  </si>
  <si>
    <t xml:space="preserve">Oslo</t>
  </si>
  <si>
    <t xml:space="preserve">Oslo Gardermoen</t>
  </si>
  <si>
    <t xml:space="preserve">ENGM</t>
  </si>
  <si>
    <t xml:space="preserve">OSL</t>
  </si>
  <si>
    <t xml:space="preserve">SAS Ground Handling Norway</t>
  </si>
  <si>
    <t xml:space="preserve">Europe's first infrared de-icing hangar here (SGS Norway).</t>
  </si>
  <si>
    <t xml:space="preserve">Bergen</t>
  </si>
  <si>
    <t xml:space="preserve">Bergen Flesland</t>
  </si>
  <si>
    <t xml:space="preserve">ENBR</t>
  </si>
  <si>
    <t xml:space="preserve">BGO</t>
  </si>
  <si>
    <t xml:space="preserve">Aviator Norway</t>
  </si>
  <si>
    <t xml:space="preserve">10 Norwegian stations: Ålesund, Bardufoss, Bergen, Bodø, Haugesund, Kristiansand, Kristiansund, Stavanger, Tromsø, Trondheim.</t>
  </si>
  <si>
    <t xml:space="preserve">Stavanger</t>
  </si>
  <si>
    <t xml:space="preserve">Stavanger Sola</t>
  </si>
  <si>
    <t xml:space="preserve">ENZV</t>
  </si>
  <si>
    <t xml:space="preserve">SVG</t>
  </si>
  <si>
    <t xml:space="preserve">Long-term AF-KL partner. 47,000+ turnarounds across Norway network 2022.</t>
  </si>
  <si>
    <t xml:space="preserve">Trondheim</t>
  </si>
  <si>
    <t xml:space="preserve">Trondheim Værnes</t>
  </si>
  <si>
    <t xml:space="preserve">ENVA</t>
  </si>
  <si>
    <t xml:space="preserve">TRD</t>
  </si>
  <si>
    <t xml:space="preserve">Tromsø</t>
  </si>
  <si>
    <t xml:space="preserve">Tromsø Langnes</t>
  </si>
  <si>
    <t xml:space="preserve">ENTC</t>
  </si>
  <si>
    <t xml:space="preserve">TOS</t>
  </si>
  <si>
    <t xml:space="preserve">Finland</t>
  </si>
  <si>
    <t xml:space="preserve">Helsinki</t>
  </si>
  <si>
    <t xml:space="preserve">Helsinki-Vantaa</t>
  </si>
  <si>
    <t xml:space="preserve">EFHK</t>
  </si>
  <si>
    <t xml:space="preserve">HEL</t>
  </si>
  <si>
    <t xml:space="preserve">Aviator Finland</t>
  </si>
  <si>
    <t xml:space="preserve">Belgium</t>
  </si>
  <si>
    <t xml:space="preserve">Brussels</t>
  </si>
  <si>
    <t xml:space="preserve">Brussels Airport</t>
  </si>
  <si>
    <t xml:space="preserve">EBBR</t>
  </si>
  <si>
    <t xml:space="preserve">BRU</t>
  </si>
  <si>
    <t xml:space="preserve">Aviapartner Brussels</t>
  </si>
  <si>
    <t xml:space="preserve">Aviapartner (HQ)</t>
  </si>
  <si>
    <t xml:space="preserve">Aviapartner HQ. Handles 40%+ of Brussels traffic incl. TUI charters.</t>
  </si>
  <si>
    <t xml:space="preserve">Antwerp</t>
  </si>
  <si>
    <t xml:space="preserve">Antwerp Airport</t>
  </si>
  <si>
    <t xml:space="preserve">EBAW</t>
  </si>
  <si>
    <t xml:space="preserve">ANR</t>
  </si>
  <si>
    <t xml:space="preserve">Aviapartner Antwerp</t>
  </si>
  <si>
    <t xml:space="preserve">Aviapartner's original 1949 base.</t>
  </si>
  <si>
    <t xml:space="preserve">Liège</t>
  </si>
  <si>
    <t xml:space="preserve">Liège Airport</t>
  </si>
  <si>
    <t xml:space="preserve">EBLG</t>
  </si>
  <si>
    <t xml:space="preserve">LGG</t>
  </si>
  <si>
    <t xml:space="preserve">Aviapartner Liège</t>
  </si>
  <si>
    <t xml:space="preserve">Major cargo hub.</t>
  </si>
  <si>
    <t xml:space="preserve">Ostend</t>
  </si>
  <si>
    <t xml:space="preserve">Ostend-Bruges</t>
  </si>
  <si>
    <t xml:space="preserve">EBOS</t>
  </si>
  <si>
    <t xml:space="preserve">OST</t>
  </si>
  <si>
    <t xml:space="preserve">Aviapartner Ostend</t>
  </si>
  <si>
    <t xml:space="preserve">Netherlands</t>
  </si>
  <si>
    <t xml:space="preserve">Amsterdam</t>
  </si>
  <si>
    <t xml:space="preserve">Amsterdam Schiphol</t>
  </si>
  <si>
    <t xml:space="preserve">EHAM</t>
  </si>
  <si>
    <t xml:space="preserve">AMS</t>
  </si>
  <si>
    <t xml:space="preserve">Aviapartner Amsterdam</t>
  </si>
  <si>
    <t xml:space="preserve">Won Schiphol 'Best Handler' 2003, 2007, 2008, 2009. Acquired Aero Groundservices 2007.</t>
  </si>
  <si>
    <t xml:space="preserve">Rotterdam</t>
  </si>
  <si>
    <t xml:space="preserve">Rotterdam The Hague</t>
  </si>
  <si>
    <t xml:space="preserve">EHRD</t>
  </si>
  <si>
    <t xml:space="preserve">RTM</t>
  </si>
  <si>
    <t xml:space="preserve">Aviapartner Rotterdam</t>
  </si>
  <si>
    <t xml:space="preserve">Acquired Servisair RTM 2002.</t>
  </si>
  <si>
    <t xml:space="preserve">Czechia</t>
  </si>
  <si>
    <t xml:space="preserve">Prague</t>
  </si>
  <si>
    <t xml:space="preserve">Václav Havel Airport Prague</t>
  </si>
  <si>
    <t xml:space="preserve">LKPR</t>
  </si>
  <si>
    <t xml:space="preserve">PRG</t>
  </si>
  <si>
    <t xml:space="preserve">Skyport</t>
  </si>
  <si>
    <t xml:space="preserve">Prague Airport group</t>
  </si>
  <si>
    <t xml:space="preserve">Operates Cargo Terminal 2. Airport-aligned.</t>
  </si>
  <si>
    <t xml:space="preserve">Euro Jet Intercontinental</t>
  </si>
  <si>
    <t xml:space="preserve">Handler supervisory + FBO coordination</t>
  </si>
  <si>
    <t xml:space="preserve">Independent (Czech)</t>
  </si>
  <si>
    <t xml:space="preserve">~200+ staff + agents in 29 countries</t>
  </si>
  <si>
    <t xml:space="preserve">Pan-Eastern Europe + Central Asia coordinator. Prague HQ, reps in 52 countries. Handles biz-av, charter, medical, cargo. Strong regional play.</t>
  </si>
  <si>
    <t xml:space="preserve">FCG OPS</t>
  </si>
  <si>
    <t xml:space="preserve">FCG Group (Baltic-based)</t>
  </si>
  <si>
    <t xml:space="preserve">50+ airports across 28 countries in Baltics, Scandinavia, CIS, E. Europe.</t>
  </si>
  <si>
    <t xml:space="preserve">Poland</t>
  </si>
  <si>
    <t xml:space="preserve">Warsaw</t>
  </si>
  <si>
    <t xml:space="preserve">Warsaw Chopin</t>
  </si>
  <si>
    <t xml:space="preserve">EPWA</t>
  </si>
  <si>
    <t xml:space="preserve">WAW</t>
  </si>
  <si>
    <t xml:space="preserve">LOT Airport Services / WGL</t>
  </si>
  <si>
    <t xml:space="preserve">LOT / PPL</t>
  </si>
  <si>
    <t xml:space="preserve">State-linked handlers. Less agile procurement but deep operations.</t>
  </si>
  <si>
    <t xml:space="preserve">FCG OPS Warsaw</t>
  </si>
  <si>
    <t xml:space="preserve">FCG Group</t>
  </si>
  <si>
    <t xml:space="preserve">Small station team</t>
  </si>
  <si>
    <t xml:space="preserve">Krakow</t>
  </si>
  <si>
    <t xml:space="preserve">Kraków John Paul II</t>
  </si>
  <si>
    <t xml:space="preserve">EPKK</t>
  </si>
  <si>
    <t xml:space="preserve">KRK</t>
  </si>
  <si>
    <t xml:space="preserve">FCG OPS Krakow</t>
  </si>
  <si>
    <t xml:space="preserve">Gdansk</t>
  </si>
  <si>
    <t xml:space="preserve">Gdansk Lech Walesa</t>
  </si>
  <si>
    <t xml:space="preserve">EPGD</t>
  </si>
  <si>
    <t xml:space="preserve">GDN</t>
  </si>
  <si>
    <t xml:space="preserve">FCG OPS Gdansk</t>
  </si>
  <si>
    <t xml:space="preserve">Katowice</t>
  </si>
  <si>
    <t xml:space="preserve">Katowice Airport</t>
  </si>
  <si>
    <t xml:space="preserve">EPKT</t>
  </si>
  <si>
    <t xml:space="preserve">KTW</t>
  </si>
  <si>
    <t xml:space="preserve">FCG OPS Katowice</t>
  </si>
  <si>
    <t xml:space="preserve">Biz Av + Cargo</t>
  </si>
  <si>
    <t xml:space="preserve">Hungary</t>
  </si>
  <si>
    <t xml:space="preserve">Budapest</t>
  </si>
  <si>
    <t xml:space="preserve">Budapest Ferenc Liszt</t>
  </si>
  <si>
    <t xml:space="preserve">LHBP</t>
  </si>
  <si>
    <t xml:space="preserve">BUD</t>
  </si>
  <si>
    <t xml:space="preserve">Celebi Ground Handling Hungary</t>
  </si>
  <si>
    <t xml:space="preserve">Celebi (Turkish group)</t>
  </si>
  <si>
    <t xml:space="preserve">Major concessionaire at BUD.</t>
  </si>
  <si>
    <t xml:space="preserve">Malév Ground Handling (now Budapest Airport Handling)</t>
  </si>
  <si>
    <t xml:space="preserve">Budapest Airport</t>
  </si>
  <si>
    <t xml:space="preserve">Debrecen</t>
  </si>
  <si>
    <t xml:space="preserve">Debrecen Airport</t>
  </si>
  <si>
    <t xml:space="preserve">LHDC</t>
  </si>
  <si>
    <t xml:space="preserve">DEB</t>
  </si>
  <si>
    <t xml:space="preserve">QT Logistics / local operator</t>
  </si>
  <si>
    <t xml:space="preserve">QT Logistics Group</t>
  </si>
  <si>
    <t xml:space="preserve">Growing secondary airport, Wizz Air base.</t>
  </si>
  <si>
    <t xml:space="preserve">Romania</t>
  </si>
  <si>
    <t xml:space="preserve">Bucharest</t>
  </si>
  <si>
    <t xml:space="preserve">Henri Coandă (Otopeni)</t>
  </si>
  <si>
    <t xml:space="preserve">LROP</t>
  </si>
  <si>
    <t xml:space="preserve">OTP</t>
  </si>
  <si>
    <t xml:space="preserve">Romanian Airport Services (RAS)</t>
  </si>
  <si>
    <t xml:space="preserve">Băneasa</t>
  </si>
  <si>
    <t xml:space="preserve">LRBS</t>
  </si>
  <si>
    <t xml:space="preserve">BBU</t>
  </si>
  <si>
    <t xml:space="preserve">FCG OPS Bucharest Baneasa</t>
  </si>
  <si>
    <t xml:space="preserve">Baneasa is Bucharest's biz-av reliever. New VIP lounge partnership 2022.</t>
  </si>
  <si>
    <t xml:space="preserve">Bulgaria</t>
  </si>
  <si>
    <t xml:space="preserve">Sofia</t>
  </si>
  <si>
    <t xml:space="preserve">Sofia Airport</t>
  </si>
  <si>
    <t xml:space="preserve">LBSF</t>
  </si>
  <si>
    <t xml:space="preserve">SOF</t>
  </si>
  <si>
    <t xml:space="preserve">Omega Aviation</t>
  </si>
  <si>
    <t xml:space="preserve">Independent, Sky Valet Connect franchise</t>
  </si>
  <si>
    <t xml:space="preserve">Sky Valet Connect partner — brand + tools of ACA without losing independence. Good reference for product pitch.</t>
  </si>
  <si>
    <t xml:space="preserve">Burgas</t>
  </si>
  <si>
    <t xml:space="preserve">Burgas Airport</t>
  </si>
  <si>
    <t xml:space="preserve">LBBG</t>
  </si>
  <si>
    <t xml:space="preserve">BOJ</t>
  </si>
  <si>
    <t xml:space="preserve">Omega Aviation Burgas</t>
  </si>
  <si>
    <t xml:space="preserve">Sky Valet Connect</t>
  </si>
  <si>
    <t xml:space="preserve">Gorna Oryahovitsa</t>
  </si>
  <si>
    <t xml:space="preserve">Gorna Oryahovitsa Airport</t>
  </si>
  <si>
    <t xml:space="preserve">LBGO</t>
  </si>
  <si>
    <t xml:space="preserve">GOZ</t>
  </si>
  <si>
    <t xml:space="preserve">Omega Aviation GOZ</t>
  </si>
  <si>
    <t xml:space="preserve">Only privately-owned international airport in Bulgaria.</t>
  </si>
  <si>
    <t xml:space="preserve">Croatia</t>
  </si>
  <si>
    <t xml:space="preserve">Zagreb</t>
  </si>
  <si>
    <t xml:space="preserve">Zagreb Franjo Tuđman</t>
  </si>
  <si>
    <t xml:space="preserve">LDZA</t>
  </si>
  <si>
    <t xml:space="preserve">ZAG</t>
  </si>
  <si>
    <t xml:space="preserve">Zagreb Airport Ground Services</t>
  </si>
  <si>
    <t xml:space="preserve">ZA AG</t>
  </si>
  <si>
    <t xml:space="preserve">Split</t>
  </si>
  <si>
    <t xml:space="preserve">Split Airport</t>
  </si>
  <si>
    <t xml:space="preserve">LDSP</t>
  </si>
  <si>
    <t xml:space="preserve">SPU</t>
  </si>
  <si>
    <t xml:space="preserve">Split Airport handling</t>
  </si>
  <si>
    <t xml:space="preserve">SPU AG</t>
  </si>
  <si>
    <t xml:space="preserve">Heavy seasonal Adriatic coast.</t>
  </si>
  <si>
    <t xml:space="preserve">Dubrovnik</t>
  </si>
  <si>
    <t xml:space="preserve">Dubrovnik Airport</t>
  </si>
  <si>
    <t xml:space="preserve">LDDU</t>
  </si>
  <si>
    <t xml:space="preserve">DBV</t>
  </si>
  <si>
    <t xml:space="preserve">Dubrovnik Airport handling</t>
  </si>
  <si>
    <t xml:space="preserve">DBV AG</t>
  </si>
  <si>
    <t xml:space="preserve">Major summer leisure + yachting biz-av.</t>
  </si>
  <si>
    <t xml:space="preserve">Cyprus</t>
  </si>
  <si>
    <t xml:space="preserve">Larnaca</t>
  </si>
  <si>
    <t xml:space="preserve">Larnaca Airport</t>
  </si>
  <si>
    <t xml:space="preserve">LCLK</t>
  </si>
  <si>
    <t xml:space="preserve">LCA</t>
  </si>
  <si>
    <t xml:space="preserve">LGS Handling</t>
  </si>
  <si>
    <t xml:space="preserve">Hermes Airports / independent</t>
  </si>
  <si>
    <t xml:space="preserve">Paphos</t>
  </si>
  <si>
    <t xml:space="preserve">Paphos Airport</t>
  </si>
  <si>
    <t xml:space="preserve">LCPH</t>
  </si>
  <si>
    <t xml:space="preserve">PFO</t>
  </si>
  <si>
    <t xml:space="preserve">Hermes Airports</t>
  </si>
  <si>
    <t xml:space="preserve">Malta</t>
  </si>
  <si>
    <t xml:space="preserve">Malta International (Luqa)</t>
  </si>
  <si>
    <t xml:space="preserve">LMML</t>
  </si>
  <si>
    <t xml:space="preserve">MLA</t>
  </si>
  <si>
    <t xml:space="preserve">Malta Ground Services (MGS)</t>
  </si>
  <si>
    <t xml:space="preserve">Independent / Menzies partnership</t>
  </si>
  <si>
    <t xml:space="preserve">Country rollup</t>
  </si>
  <si>
    <t xml:space="preserve">Total operators listed</t>
  </si>
  <si>
    <t xml:space="preserve">TOTAL</t>
  </si>
  <si>
    <t xml:space="preserve">High-signal prospects for a flight-ops dashboard</t>
  </si>
  <si>
    <t xml:space="preserve">Criteria: (1) independent or loose network, (2) multi-station ops (pain of coordination), (3) not already using a global parent's internal system, (4) recent investment or growth signal = budget + attention.</t>
  </si>
  <si>
    <t xml:space="preserve">Why it's a strong fit</t>
  </si>
  <si>
    <t xml:space="preserve">Suggested opening angle</t>
  </si>
  <si>
    <t xml:space="preserve">9 Spanish FBO bases, ~100 staff, actively investing in new equipment (€200k in early 2025, TowFLEXX deployment). Multi-station coordination pain. Family-owned — decisions fast.</t>
  </si>
  <si>
    <t xml:space="preserve">Congratulate on TowFLEXX deployment in Alicante. Ask how they coordinate turn progress + equipment across 9 bases today — is it WhatsApp + email?</t>
  </si>
  <si>
    <t xml:space="preserve">GH Italia (Alisud)</t>
  </si>
  <si>
    <t xml:space="preserve">11+ Italian stations + LHR. Largest Italian independent. Recently under pressure from dnata consolidating Airport Handling SpA.</t>
  </si>
  <si>
    <t xml:space="preserve">Frame: 'while dnata integrates, you are the biggest truly Italian independent — want to stay that way long-term? Here's how an ops layer protects that.'</t>
  </si>
  <si>
    <t xml:space="preserve">Already ISO 27001 certified — CISO buys security claims easily. 160+ airline customers. Network: GR + CY + BG + IN + RS. 177k flights/yr.</t>
  </si>
  <si>
    <t xml:space="preserve">Lean on the ISO 27001 angle. They clearly value information-security sophistication. Show how dashboard audit trails + RBAC help the next recert.</t>
  </si>
  <si>
    <t xml:space="preserve">37 Greek airports — that is an enormous station-count for a single ops team to monitor. Island + seasonality variance makes real-time visibility valuable.</t>
  </si>
  <si>
    <t xml:space="preserve">Seasonality angle: 'how do your Mykonos, Santorini, Heraklion station managers share situational awareness in August peak?'</t>
  </si>
  <si>
    <t xml:space="preserve">Aviator (Nordic)</t>
  </si>
  <si>
    <t xml:space="preserve">Denmark / Nordics</t>
  </si>
  <si>
    <t xml:space="preserve">Largest independent handler in Nordics. 15 airports across 4 countries. Recently renewed + expanded AF-KL contract, signalling growth + reinvestment.</t>
  </si>
  <si>
    <t xml:space="preserve">The AF-KL renewal is fresh. Ask what they committed to the airline on ops visibility / on-time metrics — dashboard can deliver those SLAs.</t>
  </si>
  <si>
    <t xml:space="preserve">AHS Aviation Handling Services</t>
  </si>
  <si>
    <t xml:space="preserve">Largest German independent — HAJ, DUS, HAM, STR (SGS JV), BRE, NUE (AirPart), LEJ (ASL partner), DRS (ASD partner). Clear traditional posture. Huge upside.</t>
  </si>
  <si>
    <t xml:space="preserve">Straight pitch: 'you're the biggest independent in Germany but your JV + partner structure means your data lives in 6 different places. Unify it.'</t>
  </si>
  <si>
    <t xml:space="preserve">Vinci Airports subsidiary (via ANA). 1,600 employees, 5 Portuguese airports, 80+ airlines. Cargo-award heavy. Vinci will push digitisation across airports — perfect tailwind.</t>
  </si>
  <si>
    <t xml:space="preserve">The Vinci angle: 'other Vinci airports (e.g., London Gatwick) use modern digital ops tools — can support internal comparability pitch to ANA board.'</t>
  </si>
  <si>
    <t xml:space="preserve">Just won Palma's FBO1 executive terminal contract. EMEA Top 10 FBO. Strong local brand. Island isolation = logistics complexity they already manage well.</t>
  </si>
  <si>
    <t xml:space="preserve">Congratulate on FBO1 award. Ask about their ops planning pre-summer peak — June to September is ~half their annual volume.</t>
  </si>
  <si>
    <t xml:space="preserve">~15% private-av share at Le Bourget. Kept independence by joining Sky Valet Connect, so clearly values autonomy. Big equipment fleet.</t>
  </si>
  <si>
    <t xml:space="preserve">Autonomy angle: 'you joined Sky Valet Connect to get the brand, not the tools — the tools should be your own choice.'</t>
  </si>
  <si>
    <t xml:space="preserve">Small independent biz-av FBO at EMA with supervisory network across multiple UK airports. Services LTN, STN, LBA, DSA, BHX, MAN, GLA.</t>
  </si>
  <si>
    <t xml:space="preserve">Multi-station supervisory pain — a single pane to track aircraft across 7 airports is exactly the problem.</t>
  </si>
  <si>
    <t xml:space="preserve">Czechia / Eastern Europe</t>
  </si>
  <si>
    <t xml:space="preserve">Prague HQ, ~200+ staff, agents in 29 countries + representation in 52 more. Ops complexity is their USP. Tech-forward.</t>
  </si>
  <si>
    <t xml:space="preserve">They already think in terms of coordination-across-borders. Ask what tool they use internally to keep 29-country network visible day-to-day.</t>
  </si>
  <si>
    <t xml:space="preserve">Sky Valet Connect member (brand only, keeps ops independence). 3 Bulgarian airports incl. GOZ, the only private intl airport in BG.</t>
  </si>
  <si>
    <t xml:space="preserve">Sky Valet Connect uses ACA's brand but members choose their own tools. Perfect pitch.</t>
  </si>
  <si>
    <t xml:space="preserve">Presence in PMI + AGP. Small, independent, less visible than G.A.S. — likely underserved by vendors.</t>
  </si>
  <si>
    <t xml:space="preserve">'You're in the two most intense summer destinations in Europe with a small team — here's how the tools the big networks use can work at your scale.'</t>
  </si>
  <si>
    <t xml:space="preserve">Baltics / Scandinavia / E. Europe</t>
  </si>
  <si>
    <t xml:space="preserve">50+ airports in 28 countries. Already positions itself on technology + quality. Growing fast.</t>
  </si>
  <si>
    <t xml:space="preserve">Ask what they use today — if they have a home-built tool, pitch is integration; if a patchwork, pitch is replacement.</t>
  </si>
  <si>
    <t xml:space="preserve">Operates STR (KAS), Cologne + Frankfurt (BAC). 25+ yr brand. Partner with ExecuJet + Jet Aviation + Air Elite — already in high-service segment.</t>
  </si>
  <si>
    <t xml:space="preserve">Premium-service angle: 'your customers (ExecuJet clients etc.) expect visibility; your competitors in biz-av all have dashboards; here's yours.'</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</si>
</sst>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name val="Arial"/>
      <family val="0"/>
      <charset val="1"/>
    </font>
    <font>
      <sz val="10"/>
      <name val="Arial"/>
      <family val="0"/>
      <charset val="1"/>
    </font>
    <font>
      <b val="true"/>
      <sz val="11"/>
      <color rgb="FFFFFFFF"/>
      <name val="Arial"/>
      <family val="0"/>
      <charset val="1"/>
    </font>
    <font>
      <b val="true"/>
      <sz val="14"/>
      <color rgb="FFFFFFFF"/>
      <name val="Arial"/>
      <family val="0"/>
      <charset val="1"/>
    </font>
    <font>
      <b val="true"/>
      <sz val="11"/>
      <name val="Arial"/>
      <family val="0"/>
      <charset val="1"/>
    </font>
    <font>
      <i val="true"/>
      <sz val="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C6EFCE"/>
        <bgColor rgb="FFD9E1F2"/>
      </patternFill>
    </fill>
    <fill>
      <patternFill patternType="solid">
        <fgColor rgb="FFFFEB9C"/>
        <bgColor rgb="FFFFFFCC"/>
      </patternFill>
    </fill>
    <fill>
      <patternFill patternType="solid">
        <fgColor rgb="FFFFC7CE"/>
        <bgColor rgb="FFD9D9D9"/>
      </patternFill>
    </fill>
    <fill>
      <patternFill patternType="solid">
        <fgColor rgb="FFD9E1F2"/>
        <bgColor rgb="FFD9D9D9"/>
      </patternFill>
    </fill>
  </fills>
  <borders count="3">
    <border diagonalUp="false" diagonalDown="false">
      <left/>
      <right/>
      <top/>
      <bottom/>
      <diagonal/>
    </border>
    <border diagonalUp="false" diagonalDown="false">
      <left/>
      <right/>
      <top/>
      <bottom style="medium"/>
      <diagonal/>
    </border>
    <border diagonalUp="false" diagonalDown="false">
      <left/>
      <right style="thin">
        <color rgb="FFD9D9D9"/>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general" vertical="top" textRotation="0" wrapText="true" indent="0" shrinkToFit="false"/>
      <protection locked="true" hidden="false"/>
    </xf>
    <xf numFmtId="164" fontId="6" fillId="3" borderId="2" xfId="0" applyFont="true" applyBorder="true" applyAlignment="true" applyProtection="true">
      <alignment horizontal="general" vertical="top" textRotation="0" wrapText="true" indent="0" shrinkToFit="false"/>
      <protection locked="true" hidden="false"/>
    </xf>
    <xf numFmtId="164" fontId="6" fillId="4" borderId="2" xfId="0" applyFont="true" applyBorder="true" applyAlignment="true" applyProtection="true">
      <alignment horizontal="general" vertical="top" textRotation="0" wrapText="true" indent="0" shrinkToFit="false"/>
      <protection locked="true" hidden="false"/>
    </xf>
    <xf numFmtId="164" fontId="6" fillId="5" borderId="2" xfId="0" applyFont="true" applyBorder="true" applyAlignment="true" applyProtection="true">
      <alignment horizontal="general" vertical="top" textRotation="0" wrapText="true" indent="0" shrinkToFit="false"/>
      <protection locked="true" hidden="false"/>
    </xf>
    <xf numFmtId="164" fontId="8" fillId="2" borderId="0" xfId="0" applyFont="true" applyBorder="true" applyAlignment="true" applyProtection="true">
      <alignment horizontal="center" vertical="bottom" textRotation="0" wrapText="false" indent="0" shrinkToFit="false"/>
      <protection locked="true" hidden="false"/>
    </xf>
    <xf numFmtId="164" fontId="9" fillId="6" borderId="0" xfId="0" applyFont="true" applyBorder="false" applyAlignment="true" applyProtection="true">
      <alignment horizontal="center" vertical="bottom" textRotation="0" wrapText="false" indent="0" shrinkToFit="false"/>
      <protection locked="true" hidden="false"/>
    </xf>
    <xf numFmtId="165" fontId="6" fillId="0" borderId="0" xfId="0" applyFont="true" applyBorder="false" applyAlignment="true" applyProtection="true">
      <alignment horizontal="center" vertical="bottom" textRotation="0" wrapText="false" indent="0" shrinkToFit="false"/>
      <protection locked="true" hidden="false"/>
    </xf>
    <xf numFmtId="164" fontId="9" fillId="6"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tru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true" hidden="false"/>
    </xf>
    <xf numFmtId="164" fontId="5" fillId="0" borderId="2"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0" colorId="64" zoomScale="140" zoomScaleNormal="140" zoomScalePageLayoutView="100" workbookViewId="0">
      <selection pane="topLeft" activeCell="F6" activeCellId="0" sqref="F6"/>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0"/>
    <col collapsed="false" customWidth="true" hidden="false" outlineLevel="0" max="4" min="3" style="1" width="30"/>
  </cols>
  <sheetData>
    <row r="1" customFormat="false" ht="30" hidden="false" customHeight="true" outlineLevel="0" collapsed="false">
      <c r="A1" s="2" t="s">
        <v>0</v>
      </c>
      <c r="B1" s="2"/>
      <c r="C1" s="2"/>
      <c r="D1" s="2"/>
    </row>
    <row r="2" customFormat="false" ht="15" hidden="false" customHeight="false" outlineLevel="0" collapsed="false">
      <c r="A2" s="3"/>
      <c r="B2" s="4"/>
      <c r="C2" s="4"/>
      <c r="D2" s="4"/>
    </row>
    <row r="3" customFormat="false" ht="23.85" hidden="false" customHeight="true" outlineLevel="0" collapsed="false">
      <c r="A3" s="3" t="s">
        <v>1</v>
      </c>
      <c r="B3" s="4" t="s">
        <v>2</v>
      </c>
      <c r="C3" s="4"/>
      <c r="D3" s="4"/>
    </row>
    <row r="4" customFormat="false" ht="23.85" hidden="false" customHeight="true" outlineLevel="0" collapsed="false">
      <c r="A4" s="3" t="s">
        <v>3</v>
      </c>
      <c r="B4" s="4" t="s">
        <v>4</v>
      </c>
      <c r="C4" s="4"/>
      <c r="D4" s="4"/>
    </row>
    <row r="5" customFormat="false" ht="23.85" hidden="false" customHeight="true" outlineLevel="0" collapsed="false">
      <c r="A5" s="3" t="s">
        <v>5</v>
      </c>
      <c r="B5" s="4" t="s">
        <v>6</v>
      </c>
      <c r="C5" s="4"/>
      <c r="D5" s="4"/>
    </row>
    <row r="6" customFormat="false" ht="15" hidden="false" customHeight="false" outlineLevel="0" collapsed="false">
      <c r="A6" s="3"/>
      <c r="B6" s="4"/>
      <c r="C6" s="4"/>
      <c r="D6" s="4"/>
    </row>
    <row r="7" customFormat="false" ht="15" hidden="false" customHeight="false" outlineLevel="0" collapsed="false">
      <c r="A7" s="3" t="s">
        <v>7</v>
      </c>
      <c r="B7" s="4"/>
      <c r="C7" s="4"/>
      <c r="D7" s="4"/>
    </row>
    <row r="8" customFormat="false" ht="23.85" hidden="false" customHeight="true" outlineLevel="0" collapsed="false">
      <c r="A8" s="3" t="s">
        <v>8</v>
      </c>
      <c r="B8" s="4" t="s">
        <v>9</v>
      </c>
      <c r="C8" s="4"/>
      <c r="D8" s="4"/>
    </row>
    <row r="9" customFormat="false" ht="23.85" hidden="false" customHeight="true" outlineLevel="0" collapsed="false">
      <c r="A9" s="3" t="s">
        <v>10</v>
      </c>
      <c r="B9" s="4" t="s">
        <v>11</v>
      </c>
      <c r="C9" s="4"/>
      <c r="D9" s="4"/>
    </row>
    <row r="10" customFormat="false" ht="15" hidden="false" customHeight="true" outlineLevel="0" collapsed="false">
      <c r="A10" s="3" t="s">
        <v>12</v>
      </c>
      <c r="B10" s="4" t="s">
        <v>13</v>
      </c>
      <c r="C10" s="4"/>
      <c r="D10" s="4"/>
    </row>
    <row r="11" customFormat="false" ht="35.05" hidden="false" customHeight="true" outlineLevel="0" collapsed="false">
      <c r="A11" s="3" t="s">
        <v>14</v>
      </c>
      <c r="B11" s="4" t="s">
        <v>15</v>
      </c>
      <c r="C11" s="4"/>
      <c r="D11" s="4"/>
    </row>
    <row r="12" customFormat="false" ht="23.85" hidden="false" customHeight="true" outlineLevel="0" collapsed="false">
      <c r="A12" s="3" t="s">
        <v>16</v>
      </c>
      <c r="B12" s="4" t="s">
        <v>17</v>
      </c>
      <c r="C12" s="4"/>
      <c r="D12" s="4"/>
    </row>
    <row r="13" customFormat="false" ht="15" hidden="false" customHeight="true" outlineLevel="0" collapsed="false">
      <c r="A13" s="3" t="s">
        <v>18</v>
      </c>
      <c r="B13" s="4" t="s">
        <v>19</v>
      </c>
      <c r="C13" s="4"/>
      <c r="D13" s="4"/>
    </row>
    <row r="14" customFormat="false" ht="15" hidden="false" customHeight="true" outlineLevel="0" collapsed="false">
      <c r="A14" s="3" t="s">
        <v>20</v>
      </c>
      <c r="B14" s="4" t="s">
        <v>21</v>
      </c>
      <c r="C14" s="4"/>
      <c r="D14" s="4"/>
    </row>
    <row r="15" customFormat="false" ht="15" hidden="false" customHeight="true" outlineLevel="0" collapsed="false">
      <c r="A15" s="3" t="s">
        <v>22</v>
      </c>
      <c r="B15" s="4" t="s">
        <v>23</v>
      </c>
      <c r="C15" s="4"/>
      <c r="D15" s="4"/>
    </row>
    <row r="16" customFormat="false" ht="15" hidden="false" customHeight="false" outlineLevel="0" collapsed="false">
      <c r="A16" s="3"/>
      <c r="B16" s="4"/>
      <c r="C16" s="4"/>
      <c r="D16" s="4"/>
    </row>
    <row r="17" customFormat="false" ht="46.25" hidden="false" customHeight="true" outlineLevel="0" collapsed="false">
      <c r="A17" s="3" t="s">
        <v>24</v>
      </c>
      <c r="B17" s="4" t="s">
        <v>25</v>
      </c>
      <c r="C17" s="4"/>
      <c r="D17" s="4"/>
    </row>
    <row r="18" customFormat="false" ht="15" hidden="false" customHeight="false" outlineLevel="0" collapsed="false">
      <c r="A18" s="3"/>
      <c r="B18" s="4"/>
      <c r="C18" s="4"/>
      <c r="D18" s="4"/>
    </row>
    <row r="19" customFormat="false" ht="35.05" hidden="false" customHeight="true" outlineLevel="0" collapsed="false">
      <c r="A19" s="3" t="s">
        <v>26</v>
      </c>
      <c r="B19" s="4" t="s">
        <v>27</v>
      </c>
      <c r="C19" s="4"/>
      <c r="D19" s="4"/>
    </row>
  </sheetData>
  <mergeCells count="19">
    <mergeCell ref="A1:D1"/>
    <mergeCell ref="B2:D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5"/>
  <sheetViews>
    <sheetView showFormulas="false" showGridLines="true" showRowColHeaders="true" showZeros="true" rightToLeft="false" tabSelected="false" showOutlineSymbols="true" defaultGridColor="true" view="normal" topLeftCell="D1" colorId="64" zoomScale="140" zoomScaleNormal="140" zoomScalePageLayoutView="100" workbookViewId="0">
      <pane xSplit="0" ySplit="1" topLeftCell="A137" activePane="bottomLeft" state="frozen"/>
      <selection pane="topLeft" activeCell="D1" activeCellId="0" sqref="D1"/>
      <selection pane="bottomLeft" activeCell="F14" activeCellId="0" sqref="F14"/>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8"/>
    <col collapsed="false" customWidth="true" hidden="false" outlineLevel="0" max="5" min="5" style="1" width="7"/>
    <col collapsed="false" customWidth="true" hidden="false" outlineLevel="0" max="6" min="6" style="1" width="32"/>
    <col collapsed="false" customWidth="true" hidden="false" outlineLevel="0" max="7" min="7" style="1" width="18"/>
    <col collapsed="false" customWidth="true" hidden="false" outlineLevel="0" max="8" min="8" style="1" width="22"/>
    <col collapsed="false" customWidth="true" hidden="false" outlineLevel="0" max="9" min="9" style="1" width="28"/>
    <col collapsed="false" customWidth="true" hidden="false" outlineLevel="0" max="10" min="10" style="1" width="18"/>
    <col collapsed="false" customWidth="true" hidden="false" outlineLevel="0" max="11" min="11" style="1" width="16"/>
    <col collapsed="false" customWidth="true" hidden="false" outlineLevel="0" max="12" min="12" style="1" width="55"/>
    <col collapsed="false" customWidth="true" hidden="false" outlineLevel="0" max="13" min="13" style="1" width="12"/>
  </cols>
  <sheetData>
    <row r="1" customFormat="false" ht="39.75" hidden="false" customHeight="true" outlineLevel="0" collapsed="false">
      <c r="A1" s="5" t="s">
        <v>28</v>
      </c>
      <c r="B1" s="5" t="s">
        <v>29</v>
      </c>
      <c r="C1" s="5" t="s">
        <v>30</v>
      </c>
      <c r="D1" s="5" t="s">
        <v>31</v>
      </c>
      <c r="E1" s="5" t="s">
        <v>32</v>
      </c>
      <c r="F1" s="5" t="s">
        <v>33</v>
      </c>
      <c r="G1" s="5" t="s">
        <v>8</v>
      </c>
      <c r="H1" s="5" t="s">
        <v>34</v>
      </c>
      <c r="I1" s="5" t="s">
        <v>35</v>
      </c>
      <c r="J1" s="5" t="s">
        <v>36</v>
      </c>
      <c r="K1" s="5" t="s">
        <v>14</v>
      </c>
      <c r="L1" s="5" t="s">
        <v>37</v>
      </c>
      <c r="M1" s="5" t="s">
        <v>38</v>
      </c>
    </row>
    <row r="2" customFormat="false" ht="35.05" hidden="false" customHeight="false" outlineLevel="0" collapsed="false">
      <c r="A2" s="6" t="s">
        <v>39</v>
      </c>
      <c r="B2" s="6" t="s">
        <v>40</v>
      </c>
      <c r="C2" s="6" t="s">
        <v>41</v>
      </c>
      <c r="D2" s="6" t="s">
        <v>42</v>
      </c>
      <c r="E2" s="6" t="s">
        <v>43</v>
      </c>
      <c r="F2" s="6" t="s">
        <v>44</v>
      </c>
      <c r="G2" s="6" t="s">
        <v>45</v>
      </c>
      <c r="H2" s="6" t="s">
        <v>46</v>
      </c>
      <c r="I2" s="6" t="s">
        <v>47</v>
      </c>
      <c r="J2" s="6" t="s">
        <v>48</v>
      </c>
      <c r="K2" s="7" t="s">
        <v>49</v>
      </c>
      <c r="L2" s="6" t="s">
        <v>50</v>
      </c>
    </row>
    <row r="3" customFormat="false" ht="35.05" hidden="false" customHeight="false" outlineLevel="0" collapsed="false">
      <c r="A3" s="6" t="s">
        <v>39</v>
      </c>
      <c r="B3" s="6" t="s">
        <v>40</v>
      </c>
      <c r="C3" s="6" t="s">
        <v>41</v>
      </c>
      <c r="D3" s="6" t="s">
        <v>42</v>
      </c>
      <c r="E3" s="6" t="s">
        <v>43</v>
      </c>
      <c r="F3" s="6" t="s">
        <v>51</v>
      </c>
      <c r="G3" s="6" t="s">
        <v>52</v>
      </c>
      <c r="H3" s="6" t="s">
        <v>53</v>
      </c>
      <c r="I3" s="6" t="s">
        <v>54</v>
      </c>
      <c r="J3" s="6" t="s">
        <v>55</v>
      </c>
      <c r="K3" s="8" t="s">
        <v>56</v>
      </c>
      <c r="L3" s="6" t="s">
        <v>57</v>
      </c>
    </row>
    <row r="4" customFormat="false" ht="35.05" hidden="false" customHeight="false" outlineLevel="0" collapsed="false">
      <c r="A4" s="6" t="s">
        <v>39</v>
      </c>
      <c r="B4" s="6" t="s">
        <v>40</v>
      </c>
      <c r="C4" s="6" t="s">
        <v>41</v>
      </c>
      <c r="D4" s="6" t="s">
        <v>42</v>
      </c>
      <c r="E4" s="6" t="s">
        <v>43</v>
      </c>
      <c r="F4" s="6" t="s">
        <v>58</v>
      </c>
      <c r="G4" s="6" t="s">
        <v>52</v>
      </c>
      <c r="H4" s="6" t="s">
        <v>59</v>
      </c>
      <c r="I4" s="6" t="s">
        <v>60</v>
      </c>
      <c r="J4" s="6" t="s">
        <v>61</v>
      </c>
      <c r="K4" s="8" t="s">
        <v>56</v>
      </c>
      <c r="L4" s="6" t="s">
        <v>62</v>
      </c>
    </row>
    <row r="5" customFormat="false" ht="35.05" hidden="false" customHeight="false" outlineLevel="0" collapsed="false">
      <c r="A5" s="6" t="s">
        <v>39</v>
      </c>
      <c r="B5" s="6" t="s">
        <v>40</v>
      </c>
      <c r="C5" s="6" t="s">
        <v>41</v>
      </c>
      <c r="D5" s="6" t="s">
        <v>42</v>
      </c>
      <c r="E5" s="6" t="s">
        <v>43</v>
      </c>
      <c r="F5" s="6" t="s">
        <v>63</v>
      </c>
      <c r="G5" s="6" t="s">
        <v>45</v>
      </c>
      <c r="H5" s="6" t="s">
        <v>46</v>
      </c>
      <c r="I5" s="6" t="s">
        <v>64</v>
      </c>
      <c r="J5" s="6" t="s">
        <v>65</v>
      </c>
      <c r="K5" s="7" t="s">
        <v>49</v>
      </c>
      <c r="L5" s="6" t="s">
        <v>66</v>
      </c>
    </row>
    <row r="6" customFormat="false" ht="23.85" hidden="false" customHeight="false" outlineLevel="0" collapsed="false">
      <c r="A6" s="6" t="s">
        <v>39</v>
      </c>
      <c r="B6" s="6" t="s">
        <v>67</v>
      </c>
      <c r="C6" s="6" t="s">
        <v>68</v>
      </c>
      <c r="D6" s="6" t="s">
        <v>69</v>
      </c>
      <c r="E6" s="6" t="s">
        <v>70</v>
      </c>
      <c r="F6" s="6" t="s">
        <v>44</v>
      </c>
      <c r="G6" s="6" t="s">
        <v>45</v>
      </c>
      <c r="H6" s="6" t="s">
        <v>46</v>
      </c>
      <c r="I6" s="6" t="s">
        <v>71</v>
      </c>
      <c r="J6" s="6" t="s">
        <v>72</v>
      </c>
      <c r="K6" s="7" t="s">
        <v>49</v>
      </c>
      <c r="L6" s="6" t="s">
        <v>73</v>
      </c>
    </row>
    <row r="7" customFormat="false" ht="23.85" hidden="false" customHeight="false" outlineLevel="0" collapsed="false">
      <c r="A7" s="6" t="s">
        <v>39</v>
      </c>
      <c r="B7" s="6" t="s">
        <v>67</v>
      </c>
      <c r="C7" s="6" t="s">
        <v>68</v>
      </c>
      <c r="D7" s="6" t="s">
        <v>69</v>
      </c>
      <c r="E7" s="6" t="s">
        <v>70</v>
      </c>
      <c r="F7" s="6" t="s">
        <v>74</v>
      </c>
      <c r="G7" s="6" t="s">
        <v>45</v>
      </c>
      <c r="H7" s="6" t="s">
        <v>46</v>
      </c>
      <c r="I7" s="6" t="s">
        <v>75</v>
      </c>
      <c r="J7" s="6" t="s">
        <v>65</v>
      </c>
      <c r="K7" s="7" t="s">
        <v>49</v>
      </c>
      <c r="L7" s="6" t="s">
        <v>76</v>
      </c>
    </row>
    <row r="8" customFormat="false" ht="15" hidden="false" customHeight="false" outlineLevel="0" collapsed="false">
      <c r="A8" s="6" t="s">
        <v>39</v>
      </c>
      <c r="B8" s="6" t="s">
        <v>67</v>
      </c>
      <c r="C8" s="6" t="s">
        <v>68</v>
      </c>
      <c r="D8" s="6" t="s">
        <v>69</v>
      </c>
      <c r="E8" s="6" t="s">
        <v>70</v>
      </c>
      <c r="F8" s="6" t="s">
        <v>77</v>
      </c>
      <c r="G8" s="6" t="s">
        <v>45</v>
      </c>
      <c r="H8" s="6" t="s">
        <v>46</v>
      </c>
      <c r="I8" s="6" t="s">
        <v>78</v>
      </c>
      <c r="J8" s="6" t="s">
        <v>65</v>
      </c>
      <c r="K8" s="7" t="s">
        <v>49</v>
      </c>
      <c r="L8" s="6" t="s">
        <v>79</v>
      </c>
    </row>
    <row r="9" customFormat="false" ht="23.85" hidden="false" customHeight="false" outlineLevel="0" collapsed="false">
      <c r="A9" s="6" t="s">
        <v>39</v>
      </c>
      <c r="B9" s="6" t="s">
        <v>80</v>
      </c>
      <c r="C9" s="6" t="s">
        <v>81</v>
      </c>
      <c r="D9" s="6" t="s">
        <v>82</v>
      </c>
      <c r="E9" s="6" t="s">
        <v>83</v>
      </c>
      <c r="F9" s="6" t="s">
        <v>44</v>
      </c>
      <c r="G9" s="6" t="s">
        <v>45</v>
      </c>
      <c r="H9" s="6" t="s">
        <v>46</v>
      </c>
      <c r="I9" s="6" t="s">
        <v>71</v>
      </c>
      <c r="J9" s="6" t="s">
        <v>72</v>
      </c>
      <c r="K9" s="7" t="s">
        <v>49</v>
      </c>
      <c r="L9" s="6" t="s">
        <v>84</v>
      </c>
    </row>
    <row r="10" customFormat="false" ht="15" hidden="false" customHeight="false" outlineLevel="0" collapsed="false">
      <c r="A10" s="6" t="s">
        <v>39</v>
      </c>
      <c r="B10" s="6" t="s">
        <v>80</v>
      </c>
      <c r="C10" s="6" t="s">
        <v>81</v>
      </c>
      <c r="D10" s="6" t="s">
        <v>82</v>
      </c>
      <c r="E10" s="6" t="s">
        <v>83</v>
      </c>
      <c r="F10" s="6" t="s">
        <v>85</v>
      </c>
      <c r="G10" s="6" t="s">
        <v>45</v>
      </c>
      <c r="H10" s="6" t="s">
        <v>46</v>
      </c>
      <c r="I10" s="6" t="s">
        <v>86</v>
      </c>
      <c r="J10" s="6" t="s">
        <v>65</v>
      </c>
      <c r="K10" s="7" t="s">
        <v>49</v>
      </c>
      <c r="L10" s="6"/>
    </row>
    <row r="11" customFormat="false" ht="15" hidden="false" customHeight="false" outlineLevel="0" collapsed="false">
      <c r="A11" s="6" t="s">
        <v>39</v>
      </c>
      <c r="B11" s="6" t="s">
        <v>80</v>
      </c>
      <c r="C11" s="6" t="s">
        <v>81</v>
      </c>
      <c r="D11" s="6" t="s">
        <v>82</v>
      </c>
      <c r="E11" s="6" t="s">
        <v>83</v>
      </c>
      <c r="F11" s="6" t="s">
        <v>87</v>
      </c>
      <c r="G11" s="6" t="s">
        <v>45</v>
      </c>
      <c r="H11" s="6" t="s">
        <v>46</v>
      </c>
      <c r="I11" s="6" t="s">
        <v>88</v>
      </c>
      <c r="J11" s="6" t="s">
        <v>65</v>
      </c>
      <c r="K11" s="7" t="s">
        <v>49</v>
      </c>
      <c r="L11" s="6"/>
    </row>
    <row r="12" customFormat="false" ht="35.05" hidden="false" customHeight="false" outlineLevel="0" collapsed="false">
      <c r="A12" s="6" t="s">
        <v>39</v>
      </c>
      <c r="B12" s="6" t="s">
        <v>80</v>
      </c>
      <c r="C12" s="6" t="s">
        <v>81</v>
      </c>
      <c r="D12" s="6" t="s">
        <v>82</v>
      </c>
      <c r="E12" s="6" t="s">
        <v>83</v>
      </c>
      <c r="F12" s="6" t="s">
        <v>89</v>
      </c>
      <c r="G12" s="6" t="s">
        <v>52</v>
      </c>
      <c r="H12" s="6" t="s">
        <v>53</v>
      </c>
      <c r="I12" s="6" t="s">
        <v>90</v>
      </c>
      <c r="J12" s="6" t="s">
        <v>91</v>
      </c>
      <c r="K12" s="8" t="s">
        <v>56</v>
      </c>
      <c r="L12" s="6" t="s">
        <v>92</v>
      </c>
    </row>
    <row r="13" customFormat="false" ht="23.85" hidden="false" customHeight="false" outlineLevel="0" collapsed="false">
      <c r="A13" s="6" t="s">
        <v>39</v>
      </c>
      <c r="B13" s="6" t="s">
        <v>93</v>
      </c>
      <c r="C13" s="6" t="s">
        <v>94</v>
      </c>
      <c r="D13" s="6" t="s">
        <v>95</v>
      </c>
      <c r="E13" s="6" t="s">
        <v>96</v>
      </c>
      <c r="F13" s="6" t="s">
        <v>97</v>
      </c>
      <c r="G13" s="6" t="s">
        <v>52</v>
      </c>
      <c r="H13" s="6" t="s">
        <v>53</v>
      </c>
      <c r="I13" s="6" t="s">
        <v>98</v>
      </c>
      <c r="J13" s="6" t="s">
        <v>91</v>
      </c>
      <c r="K13" s="8" t="s">
        <v>56</v>
      </c>
      <c r="L13" s="6" t="s">
        <v>99</v>
      </c>
    </row>
    <row r="14" customFormat="false" ht="35.05" hidden="false" customHeight="false" outlineLevel="0" collapsed="false">
      <c r="A14" s="6" t="s">
        <v>39</v>
      </c>
      <c r="B14" s="6" t="s">
        <v>93</v>
      </c>
      <c r="C14" s="6" t="s">
        <v>94</v>
      </c>
      <c r="D14" s="6" t="s">
        <v>95</v>
      </c>
      <c r="E14" s="6" t="s">
        <v>96</v>
      </c>
      <c r="F14" s="6" t="s">
        <v>100</v>
      </c>
      <c r="G14" s="6" t="s">
        <v>52</v>
      </c>
      <c r="H14" s="6" t="s">
        <v>53</v>
      </c>
      <c r="I14" s="6" t="s">
        <v>101</v>
      </c>
      <c r="J14" s="6" t="s">
        <v>102</v>
      </c>
      <c r="K14" s="9" t="s">
        <v>103</v>
      </c>
      <c r="L14" s="6" t="s">
        <v>104</v>
      </c>
    </row>
    <row r="15" customFormat="false" ht="15" hidden="false" customHeight="false" outlineLevel="0" collapsed="false">
      <c r="A15" s="6" t="s">
        <v>39</v>
      </c>
      <c r="B15" s="6" t="s">
        <v>93</v>
      </c>
      <c r="C15" s="6" t="s">
        <v>94</v>
      </c>
      <c r="D15" s="6" t="s">
        <v>95</v>
      </c>
      <c r="E15" s="6" t="s">
        <v>96</v>
      </c>
      <c r="F15" s="6" t="s">
        <v>105</v>
      </c>
      <c r="G15" s="6" t="s">
        <v>52</v>
      </c>
      <c r="H15" s="6" t="s">
        <v>106</v>
      </c>
      <c r="I15" s="6" t="s">
        <v>107</v>
      </c>
      <c r="J15" s="6" t="s">
        <v>65</v>
      </c>
      <c r="K15" s="8" t="s">
        <v>56</v>
      </c>
      <c r="L15" s="6" t="s">
        <v>108</v>
      </c>
    </row>
    <row r="16" customFormat="false" ht="35.05" hidden="false" customHeight="false" outlineLevel="0" collapsed="false">
      <c r="A16" s="6" t="s">
        <v>39</v>
      </c>
      <c r="B16" s="6" t="s">
        <v>109</v>
      </c>
      <c r="C16" s="6" t="s">
        <v>110</v>
      </c>
      <c r="D16" s="6" t="s">
        <v>111</v>
      </c>
      <c r="E16" s="6" t="s">
        <v>112</v>
      </c>
      <c r="F16" s="6" t="s">
        <v>113</v>
      </c>
      <c r="G16" s="6" t="s">
        <v>45</v>
      </c>
      <c r="H16" s="6" t="s">
        <v>46</v>
      </c>
      <c r="I16" s="6" t="s">
        <v>71</v>
      </c>
      <c r="J16" s="6" t="s">
        <v>65</v>
      </c>
      <c r="K16" s="7" t="s">
        <v>49</v>
      </c>
      <c r="L16" s="6" t="s">
        <v>114</v>
      </c>
    </row>
    <row r="17" customFormat="false" ht="15" hidden="false" customHeight="false" outlineLevel="0" collapsed="false">
      <c r="A17" s="6" t="s">
        <v>39</v>
      </c>
      <c r="B17" s="6" t="s">
        <v>109</v>
      </c>
      <c r="C17" s="6" t="s">
        <v>110</v>
      </c>
      <c r="D17" s="6" t="s">
        <v>111</v>
      </c>
      <c r="E17" s="6" t="s">
        <v>112</v>
      </c>
      <c r="F17" s="6" t="s">
        <v>44</v>
      </c>
      <c r="G17" s="6" t="s">
        <v>45</v>
      </c>
      <c r="H17" s="6" t="s">
        <v>46</v>
      </c>
      <c r="I17" s="6" t="s">
        <v>71</v>
      </c>
      <c r="J17" s="6" t="s">
        <v>72</v>
      </c>
      <c r="K17" s="7" t="s">
        <v>49</v>
      </c>
      <c r="L17" s="6" t="s">
        <v>115</v>
      </c>
    </row>
    <row r="18" customFormat="false" ht="15" hidden="false" customHeight="false" outlineLevel="0" collapsed="false">
      <c r="A18" s="6" t="s">
        <v>39</v>
      </c>
      <c r="B18" s="6" t="s">
        <v>109</v>
      </c>
      <c r="C18" s="6" t="s">
        <v>110</v>
      </c>
      <c r="D18" s="6" t="s">
        <v>111</v>
      </c>
      <c r="E18" s="6" t="s">
        <v>112</v>
      </c>
      <c r="F18" s="6" t="s">
        <v>116</v>
      </c>
      <c r="G18" s="6" t="s">
        <v>45</v>
      </c>
      <c r="H18" s="6" t="s">
        <v>46</v>
      </c>
      <c r="I18" s="6" t="s">
        <v>86</v>
      </c>
      <c r="J18" s="6" t="s">
        <v>65</v>
      </c>
      <c r="K18" s="7" t="s">
        <v>49</v>
      </c>
      <c r="L18" s="6" t="s">
        <v>117</v>
      </c>
    </row>
    <row r="19" customFormat="false" ht="15" hidden="false" customHeight="false" outlineLevel="0" collapsed="false">
      <c r="A19" s="6" t="s">
        <v>39</v>
      </c>
      <c r="B19" s="6" t="s">
        <v>109</v>
      </c>
      <c r="C19" s="6" t="s">
        <v>110</v>
      </c>
      <c r="D19" s="6" t="s">
        <v>111</v>
      </c>
      <c r="E19" s="6" t="s">
        <v>112</v>
      </c>
      <c r="F19" s="6" t="s">
        <v>118</v>
      </c>
      <c r="G19" s="6" t="s">
        <v>45</v>
      </c>
      <c r="H19" s="6" t="s">
        <v>46</v>
      </c>
      <c r="I19" s="6" t="s">
        <v>88</v>
      </c>
      <c r="J19" s="6" t="s">
        <v>65</v>
      </c>
      <c r="K19" s="7" t="s">
        <v>49</v>
      </c>
      <c r="L19" s="6"/>
    </row>
    <row r="20" customFormat="false" ht="23.85" hidden="false" customHeight="false" outlineLevel="0" collapsed="false">
      <c r="A20" s="6" t="s">
        <v>39</v>
      </c>
      <c r="B20" s="6" t="s">
        <v>109</v>
      </c>
      <c r="C20" s="6" t="s">
        <v>110</v>
      </c>
      <c r="D20" s="6" t="s">
        <v>111</v>
      </c>
      <c r="E20" s="6" t="s">
        <v>112</v>
      </c>
      <c r="F20" s="6" t="s">
        <v>119</v>
      </c>
      <c r="G20" s="6" t="s">
        <v>45</v>
      </c>
      <c r="H20" s="6" t="s">
        <v>46</v>
      </c>
      <c r="I20" s="6" t="s">
        <v>120</v>
      </c>
      <c r="J20" s="6" t="s">
        <v>65</v>
      </c>
      <c r="K20" s="8" t="s">
        <v>56</v>
      </c>
      <c r="L20" s="6" t="s">
        <v>121</v>
      </c>
    </row>
    <row r="21" customFormat="false" ht="15" hidden="false" customHeight="false" outlineLevel="0" collapsed="false">
      <c r="A21" s="6" t="s">
        <v>39</v>
      </c>
      <c r="B21" s="6" t="s">
        <v>109</v>
      </c>
      <c r="C21" s="6" t="s">
        <v>110</v>
      </c>
      <c r="D21" s="6" t="s">
        <v>111</v>
      </c>
      <c r="E21" s="6" t="s">
        <v>112</v>
      </c>
      <c r="F21" s="6" t="s">
        <v>51</v>
      </c>
      <c r="G21" s="6" t="s">
        <v>52</v>
      </c>
      <c r="H21" s="6" t="s">
        <v>53</v>
      </c>
      <c r="I21" s="6" t="s">
        <v>122</v>
      </c>
      <c r="J21" s="6" t="s">
        <v>123</v>
      </c>
      <c r="K21" s="8" t="s">
        <v>56</v>
      </c>
      <c r="L21" s="6" t="s">
        <v>124</v>
      </c>
    </row>
    <row r="22" customFormat="false" ht="15" hidden="false" customHeight="false" outlineLevel="0" collapsed="false">
      <c r="A22" s="6" t="s">
        <v>39</v>
      </c>
      <c r="B22" s="6" t="s">
        <v>125</v>
      </c>
      <c r="C22" s="6" t="s">
        <v>126</v>
      </c>
      <c r="D22" s="6" t="s">
        <v>127</v>
      </c>
      <c r="E22" s="6" t="s">
        <v>128</v>
      </c>
      <c r="F22" s="6" t="s">
        <v>44</v>
      </c>
      <c r="G22" s="6" t="s">
        <v>45</v>
      </c>
      <c r="H22" s="6" t="s">
        <v>46</v>
      </c>
      <c r="I22" s="6" t="s">
        <v>71</v>
      </c>
      <c r="J22" s="6" t="s">
        <v>72</v>
      </c>
      <c r="K22" s="7" t="s">
        <v>49</v>
      </c>
      <c r="L22" s="6"/>
    </row>
    <row r="23" customFormat="false" ht="35.05" hidden="false" customHeight="false" outlineLevel="0" collapsed="false">
      <c r="A23" s="6" t="s">
        <v>39</v>
      </c>
      <c r="B23" s="6" t="s">
        <v>125</v>
      </c>
      <c r="C23" s="6" t="s">
        <v>126</v>
      </c>
      <c r="D23" s="6" t="s">
        <v>127</v>
      </c>
      <c r="E23" s="6" t="s">
        <v>128</v>
      </c>
      <c r="F23" s="6" t="s">
        <v>129</v>
      </c>
      <c r="G23" s="6" t="s">
        <v>45</v>
      </c>
      <c r="H23" s="6" t="s">
        <v>46</v>
      </c>
      <c r="I23" s="6" t="s">
        <v>86</v>
      </c>
      <c r="J23" s="6" t="s">
        <v>130</v>
      </c>
      <c r="K23" s="7" t="s">
        <v>49</v>
      </c>
      <c r="L23" s="6" t="s">
        <v>131</v>
      </c>
    </row>
    <row r="24" customFormat="false" ht="15" hidden="false" customHeight="false" outlineLevel="0" collapsed="false">
      <c r="A24" s="6" t="s">
        <v>39</v>
      </c>
      <c r="B24" s="6" t="s">
        <v>125</v>
      </c>
      <c r="C24" s="6" t="s">
        <v>126</v>
      </c>
      <c r="D24" s="6" t="s">
        <v>127</v>
      </c>
      <c r="E24" s="6" t="s">
        <v>128</v>
      </c>
      <c r="F24" s="6" t="s">
        <v>132</v>
      </c>
      <c r="G24" s="6" t="s">
        <v>45</v>
      </c>
      <c r="H24" s="6" t="s">
        <v>46</v>
      </c>
      <c r="I24" s="6" t="s">
        <v>88</v>
      </c>
      <c r="J24" s="6" t="s">
        <v>65</v>
      </c>
      <c r="K24" s="7" t="s">
        <v>49</v>
      </c>
      <c r="L24" s="6"/>
    </row>
    <row r="25" customFormat="false" ht="15" hidden="false" customHeight="false" outlineLevel="0" collapsed="false">
      <c r="A25" s="6" t="s">
        <v>39</v>
      </c>
      <c r="B25" s="6" t="s">
        <v>125</v>
      </c>
      <c r="C25" s="6" t="s">
        <v>126</v>
      </c>
      <c r="D25" s="6" t="s">
        <v>127</v>
      </c>
      <c r="E25" s="6" t="s">
        <v>128</v>
      </c>
      <c r="F25" s="6" t="s">
        <v>133</v>
      </c>
      <c r="G25" s="6" t="s">
        <v>52</v>
      </c>
      <c r="H25" s="6" t="s">
        <v>53</v>
      </c>
      <c r="I25" s="6" t="s">
        <v>98</v>
      </c>
      <c r="J25" s="6" t="s">
        <v>134</v>
      </c>
      <c r="K25" s="8" t="s">
        <v>56</v>
      </c>
      <c r="L25" s="6" t="s">
        <v>135</v>
      </c>
    </row>
    <row r="26" customFormat="false" ht="15" hidden="false" customHeight="false" outlineLevel="0" collapsed="false">
      <c r="A26" s="6" t="s">
        <v>39</v>
      </c>
      <c r="B26" s="6" t="s">
        <v>136</v>
      </c>
      <c r="C26" s="6" t="s">
        <v>137</v>
      </c>
      <c r="D26" s="6" t="s">
        <v>138</v>
      </c>
      <c r="E26" s="6" t="s">
        <v>139</v>
      </c>
      <c r="F26" s="6" t="s">
        <v>44</v>
      </c>
      <c r="G26" s="6" t="s">
        <v>45</v>
      </c>
      <c r="H26" s="6" t="s">
        <v>46</v>
      </c>
      <c r="I26" s="6" t="s">
        <v>71</v>
      </c>
      <c r="J26" s="6" t="s">
        <v>72</v>
      </c>
      <c r="K26" s="7" t="s">
        <v>49</v>
      </c>
      <c r="L26" s="6"/>
    </row>
    <row r="27" customFormat="false" ht="23.85" hidden="false" customHeight="false" outlineLevel="0" collapsed="false">
      <c r="A27" s="6" t="s">
        <v>39</v>
      </c>
      <c r="B27" s="6" t="s">
        <v>136</v>
      </c>
      <c r="C27" s="6" t="s">
        <v>137</v>
      </c>
      <c r="D27" s="6" t="s">
        <v>138</v>
      </c>
      <c r="E27" s="6" t="s">
        <v>139</v>
      </c>
      <c r="F27" s="6" t="s">
        <v>140</v>
      </c>
      <c r="G27" s="6" t="s">
        <v>141</v>
      </c>
      <c r="H27" s="6" t="s">
        <v>142</v>
      </c>
      <c r="I27" s="6" t="s">
        <v>98</v>
      </c>
      <c r="J27" s="6" t="s">
        <v>134</v>
      </c>
      <c r="K27" s="8" t="s">
        <v>56</v>
      </c>
      <c r="L27" s="6" t="s">
        <v>143</v>
      </c>
    </row>
    <row r="28" customFormat="false" ht="15" hidden="false" customHeight="false" outlineLevel="0" collapsed="false">
      <c r="A28" s="6" t="s">
        <v>39</v>
      </c>
      <c r="B28" s="6" t="s">
        <v>136</v>
      </c>
      <c r="C28" s="6" t="s">
        <v>137</v>
      </c>
      <c r="D28" s="6" t="s">
        <v>138</v>
      </c>
      <c r="E28" s="6" t="s">
        <v>139</v>
      </c>
      <c r="F28" s="6" t="s">
        <v>144</v>
      </c>
      <c r="G28" s="6" t="s">
        <v>45</v>
      </c>
      <c r="H28" s="6" t="s">
        <v>46</v>
      </c>
      <c r="I28" s="6" t="s">
        <v>145</v>
      </c>
      <c r="J28" s="6" t="s">
        <v>65</v>
      </c>
      <c r="K28" s="8" t="s">
        <v>56</v>
      </c>
      <c r="L28" s="6" t="s">
        <v>146</v>
      </c>
    </row>
    <row r="29" customFormat="false" ht="15" hidden="false" customHeight="false" outlineLevel="0" collapsed="false">
      <c r="A29" s="6" t="s">
        <v>39</v>
      </c>
      <c r="B29" s="6" t="s">
        <v>136</v>
      </c>
      <c r="C29" s="6" t="s">
        <v>137</v>
      </c>
      <c r="D29" s="6" t="s">
        <v>138</v>
      </c>
      <c r="E29" s="6" t="s">
        <v>139</v>
      </c>
      <c r="F29" s="6" t="s">
        <v>147</v>
      </c>
      <c r="G29" s="6" t="s">
        <v>45</v>
      </c>
      <c r="H29" s="6" t="s">
        <v>46</v>
      </c>
      <c r="I29" s="6" t="s">
        <v>88</v>
      </c>
      <c r="J29" s="6" t="s">
        <v>65</v>
      </c>
      <c r="K29" s="7" t="s">
        <v>49</v>
      </c>
      <c r="L29" s="6"/>
    </row>
    <row r="30" customFormat="false" ht="15" hidden="false" customHeight="false" outlineLevel="0" collapsed="false">
      <c r="A30" s="6" t="s">
        <v>39</v>
      </c>
      <c r="B30" s="6" t="s">
        <v>136</v>
      </c>
      <c r="C30" s="6" t="s">
        <v>137</v>
      </c>
      <c r="D30" s="6" t="s">
        <v>138</v>
      </c>
      <c r="E30" s="6" t="s">
        <v>139</v>
      </c>
      <c r="F30" s="6" t="s">
        <v>148</v>
      </c>
      <c r="G30" s="6" t="s">
        <v>45</v>
      </c>
      <c r="H30" s="6" t="s">
        <v>46</v>
      </c>
      <c r="I30" s="6" t="s">
        <v>149</v>
      </c>
      <c r="J30" s="6" t="s">
        <v>65</v>
      </c>
      <c r="K30" s="7" t="s">
        <v>49</v>
      </c>
      <c r="L30" s="6" t="s">
        <v>150</v>
      </c>
    </row>
    <row r="31" customFormat="false" ht="23.85" hidden="false" customHeight="false" outlineLevel="0" collapsed="false">
      <c r="A31" s="6" t="s">
        <v>39</v>
      </c>
      <c r="B31" s="6" t="s">
        <v>151</v>
      </c>
      <c r="C31" s="6" t="s">
        <v>152</v>
      </c>
      <c r="D31" s="6" t="s">
        <v>153</v>
      </c>
      <c r="E31" s="6" t="s">
        <v>154</v>
      </c>
      <c r="F31" s="6" t="s">
        <v>44</v>
      </c>
      <c r="G31" s="6" t="s">
        <v>45</v>
      </c>
      <c r="H31" s="6" t="s">
        <v>46</v>
      </c>
      <c r="I31" s="6" t="s">
        <v>71</v>
      </c>
      <c r="J31" s="6" t="s">
        <v>72</v>
      </c>
      <c r="K31" s="7" t="s">
        <v>49</v>
      </c>
      <c r="L31" s="6" t="s">
        <v>155</v>
      </c>
    </row>
    <row r="32" customFormat="false" ht="15" hidden="false" customHeight="false" outlineLevel="0" collapsed="false">
      <c r="A32" s="6" t="s">
        <v>39</v>
      </c>
      <c r="B32" s="6" t="s">
        <v>151</v>
      </c>
      <c r="C32" s="6" t="s">
        <v>152</v>
      </c>
      <c r="D32" s="6" t="s">
        <v>153</v>
      </c>
      <c r="E32" s="6" t="s">
        <v>154</v>
      </c>
      <c r="F32" s="6" t="s">
        <v>156</v>
      </c>
      <c r="G32" s="6" t="s">
        <v>52</v>
      </c>
      <c r="H32" s="6" t="s">
        <v>53</v>
      </c>
      <c r="I32" s="6" t="s">
        <v>98</v>
      </c>
      <c r="J32" s="6" t="s">
        <v>134</v>
      </c>
      <c r="K32" s="8" t="s">
        <v>56</v>
      </c>
      <c r="L32" s="6"/>
    </row>
    <row r="33" customFormat="false" ht="15" hidden="false" customHeight="false" outlineLevel="0" collapsed="false">
      <c r="A33" s="6" t="s">
        <v>39</v>
      </c>
      <c r="B33" s="6" t="s">
        <v>157</v>
      </c>
      <c r="C33" s="6" t="s">
        <v>158</v>
      </c>
      <c r="D33" s="6" t="s">
        <v>159</v>
      </c>
      <c r="E33" s="6" t="s">
        <v>160</v>
      </c>
      <c r="F33" s="6" t="s">
        <v>44</v>
      </c>
      <c r="G33" s="6" t="s">
        <v>45</v>
      </c>
      <c r="H33" s="6" t="s">
        <v>46</v>
      </c>
      <c r="I33" s="6" t="s">
        <v>71</v>
      </c>
      <c r="J33" s="6" t="s">
        <v>72</v>
      </c>
      <c r="K33" s="7" t="s">
        <v>49</v>
      </c>
      <c r="L33" s="6"/>
    </row>
    <row r="34" customFormat="false" ht="15" hidden="false" customHeight="false" outlineLevel="0" collapsed="false">
      <c r="A34" s="6" t="s">
        <v>39</v>
      </c>
      <c r="B34" s="6" t="s">
        <v>157</v>
      </c>
      <c r="C34" s="6" t="s">
        <v>158</v>
      </c>
      <c r="D34" s="6" t="s">
        <v>159</v>
      </c>
      <c r="E34" s="6" t="s">
        <v>160</v>
      </c>
      <c r="F34" s="6" t="s">
        <v>161</v>
      </c>
      <c r="G34" s="6" t="s">
        <v>45</v>
      </c>
      <c r="H34" s="6" t="s">
        <v>46</v>
      </c>
      <c r="I34" s="6" t="s">
        <v>86</v>
      </c>
      <c r="J34" s="6" t="s">
        <v>65</v>
      </c>
      <c r="K34" s="7" t="s">
        <v>49</v>
      </c>
      <c r="L34" s="6"/>
    </row>
    <row r="35" customFormat="false" ht="15" hidden="false" customHeight="false" outlineLevel="0" collapsed="false">
      <c r="A35" s="6" t="s">
        <v>39</v>
      </c>
      <c r="B35" s="6" t="s">
        <v>157</v>
      </c>
      <c r="C35" s="6" t="s">
        <v>158</v>
      </c>
      <c r="D35" s="6" t="s">
        <v>159</v>
      </c>
      <c r="E35" s="6" t="s">
        <v>160</v>
      </c>
      <c r="F35" s="6" t="s">
        <v>162</v>
      </c>
      <c r="G35" s="6" t="s">
        <v>45</v>
      </c>
      <c r="H35" s="6" t="s">
        <v>46</v>
      </c>
      <c r="I35" s="6" t="s">
        <v>88</v>
      </c>
      <c r="J35" s="6" t="s">
        <v>65</v>
      </c>
      <c r="K35" s="7" t="s">
        <v>49</v>
      </c>
      <c r="L35" s="6"/>
    </row>
    <row r="36" customFormat="false" ht="15" hidden="false" customHeight="false" outlineLevel="0" collapsed="false">
      <c r="A36" s="6" t="s">
        <v>39</v>
      </c>
      <c r="B36" s="6" t="s">
        <v>163</v>
      </c>
      <c r="C36" s="6" t="s">
        <v>164</v>
      </c>
      <c r="D36" s="6" t="s">
        <v>165</v>
      </c>
      <c r="E36" s="6" t="s">
        <v>166</v>
      </c>
      <c r="F36" s="6" t="s">
        <v>44</v>
      </c>
      <c r="G36" s="6" t="s">
        <v>45</v>
      </c>
      <c r="H36" s="6" t="s">
        <v>46</v>
      </c>
      <c r="I36" s="6" t="s">
        <v>71</v>
      </c>
      <c r="J36" s="6" t="s">
        <v>72</v>
      </c>
      <c r="K36" s="7" t="s">
        <v>49</v>
      </c>
      <c r="L36" s="6"/>
    </row>
    <row r="37" customFormat="false" ht="23.85" hidden="false" customHeight="false" outlineLevel="0" collapsed="false">
      <c r="A37" s="6" t="s">
        <v>39</v>
      </c>
      <c r="B37" s="6" t="s">
        <v>167</v>
      </c>
      <c r="C37" s="6" t="s">
        <v>168</v>
      </c>
      <c r="D37" s="6" t="s">
        <v>169</v>
      </c>
      <c r="E37" s="6" t="s">
        <v>170</v>
      </c>
      <c r="F37" s="6" t="s">
        <v>171</v>
      </c>
      <c r="G37" s="6" t="s">
        <v>45</v>
      </c>
      <c r="H37" s="6" t="s">
        <v>46</v>
      </c>
      <c r="I37" s="6" t="s">
        <v>88</v>
      </c>
      <c r="J37" s="6" t="s">
        <v>65</v>
      </c>
      <c r="K37" s="7" t="s">
        <v>49</v>
      </c>
      <c r="L37" s="6"/>
    </row>
    <row r="38" customFormat="false" ht="23.85" hidden="false" customHeight="false" outlineLevel="0" collapsed="false">
      <c r="A38" s="6" t="s">
        <v>39</v>
      </c>
      <c r="B38" s="6" t="s">
        <v>167</v>
      </c>
      <c r="C38" s="6" t="s">
        <v>168</v>
      </c>
      <c r="D38" s="6" t="s">
        <v>169</v>
      </c>
      <c r="E38" s="6" t="s">
        <v>170</v>
      </c>
      <c r="F38" s="6" t="s">
        <v>172</v>
      </c>
      <c r="G38" s="6" t="s">
        <v>52</v>
      </c>
      <c r="H38" s="6" t="s">
        <v>173</v>
      </c>
      <c r="I38" s="6" t="s">
        <v>174</v>
      </c>
      <c r="J38" s="6" t="s">
        <v>65</v>
      </c>
      <c r="K38" s="8" t="s">
        <v>56</v>
      </c>
      <c r="L38" s="6" t="s">
        <v>175</v>
      </c>
    </row>
    <row r="39" customFormat="false" ht="15" hidden="false" customHeight="false" outlineLevel="0" collapsed="false">
      <c r="A39" s="6" t="s">
        <v>39</v>
      </c>
      <c r="B39" s="6" t="s">
        <v>176</v>
      </c>
      <c r="C39" s="6" t="s">
        <v>177</v>
      </c>
      <c r="D39" s="6" t="s">
        <v>178</v>
      </c>
      <c r="E39" s="6" t="s">
        <v>179</v>
      </c>
      <c r="F39" s="6" t="s">
        <v>180</v>
      </c>
      <c r="G39" s="6" t="s">
        <v>45</v>
      </c>
      <c r="H39" s="6" t="s">
        <v>46</v>
      </c>
      <c r="I39" s="6" t="s">
        <v>88</v>
      </c>
      <c r="J39" s="6" t="s">
        <v>65</v>
      </c>
      <c r="K39" s="7" t="s">
        <v>49</v>
      </c>
      <c r="L39" s="6"/>
    </row>
    <row r="40" customFormat="false" ht="15" hidden="false" customHeight="false" outlineLevel="0" collapsed="false">
      <c r="A40" s="6" t="s">
        <v>39</v>
      </c>
      <c r="B40" s="6" t="s">
        <v>181</v>
      </c>
      <c r="C40" s="6" t="s">
        <v>182</v>
      </c>
      <c r="D40" s="6" t="s">
        <v>183</v>
      </c>
      <c r="E40" s="6" t="s">
        <v>184</v>
      </c>
      <c r="F40" s="6" t="s">
        <v>185</v>
      </c>
      <c r="G40" s="6" t="s">
        <v>52</v>
      </c>
      <c r="H40" s="6" t="s">
        <v>173</v>
      </c>
      <c r="I40" s="6" t="s">
        <v>174</v>
      </c>
      <c r="J40" s="6" t="s">
        <v>65</v>
      </c>
      <c r="K40" s="8" t="s">
        <v>56</v>
      </c>
      <c r="L40" s="6" t="s">
        <v>186</v>
      </c>
    </row>
    <row r="41" customFormat="false" ht="15" hidden="false" customHeight="false" outlineLevel="0" collapsed="false">
      <c r="A41" s="6" t="s">
        <v>39</v>
      </c>
      <c r="B41" s="6" t="s">
        <v>187</v>
      </c>
      <c r="C41" s="6" t="s">
        <v>188</v>
      </c>
      <c r="D41" s="6" t="s">
        <v>189</v>
      </c>
      <c r="E41" s="6" t="s">
        <v>190</v>
      </c>
      <c r="F41" s="6" t="s">
        <v>191</v>
      </c>
      <c r="G41" s="6" t="s">
        <v>52</v>
      </c>
      <c r="H41" s="6" t="s">
        <v>192</v>
      </c>
      <c r="I41" s="6" t="s">
        <v>174</v>
      </c>
      <c r="J41" s="6" t="s">
        <v>65</v>
      </c>
      <c r="K41" s="8" t="s">
        <v>56</v>
      </c>
      <c r="L41" s="6" t="s">
        <v>193</v>
      </c>
    </row>
    <row r="42" customFormat="false" ht="15" hidden="false" customHeight="false" outlineLevel="0" collapsed="false">
      <c r="A42" s="6" t="s">
        <v>39</v>
      </c>
      <c r="B42" s="6" t="s">
        <v>194</v>
      </c>
      <c r="C42" s="6" t="s">
        <v>195</v>
      </c>
      <c r="D42" s="6" t="s">
        <v>196</v>
      </c>
      <c r="E42" s="6" t="s">
        <v>197</v>
      </c>
      <c r="F42" s="6" t="s">
        <v>198</v>
      </c>
      <c r="G42" s="6" t="s">
        <v>52</v>
      </c>
      <c r="H42" s="6" t="s">
        <v>53</v>
      </c>
      <c r="I42" s="6" t="s">
        <v>98</v>
      </c>
      <c r="J42" s="6" t="s">
        <v>134</v>
      </c>
      <c r="K42" s="8" t="s">
        <v>56</v>
      </c>
      <c r="L42" s="6"/>
    </row>
    <row r="43" customFormat="false" ht="23.85" hidden="false" customHeight="false" outlineLevel="0" collapsed="false">
      <c r="A43" s="6" t="s">
        <v>39</v>
      </c>
      <c r="B43" s="6" t="s">
        <v>199</v>
      </c>
      <c r="C43" s="6" t="s">
        <v>200</v>
      </c>
      <c r="D43" s="6" t="s">
        <v>201</v>
      </c>
      <c r="E43" s="6" t="s">
        <v>202</v>
      </c>
      <c r="F43" s="6" t="s">
        <v>203</v>
      </c>
      <c r="G43" s="6" t="s">
        <v>52</v>
      </c>
      <c r="H43" s="6" t="s">
        <v>53</v>
      </c>
      <c r="I43" s="6" t="s">
        <v>204</v>
      </c>
      <c r="J43" s="6" t="s">
        <v>205</v>
      </c>
      <c r="K43" s="9" t="s">
        <v>103</v>
      </c>
      <c r="L43" s="6" t="s">
        <v>206</v>
      </c>
    </row>
    <row r="44" customFormat="false" ht="35.05" hidden="false" customHeight="false" outlineLevel="0" collapsed="false">
      <c r="A44" s="6" t="s">
        <v>207</v>
      </c>
      <c r="B44" s="6" t="s">
        <v>208</v>
      </c>
      <c r="C44" s="6" t="s">
        <v>209</v>
      </c>
      <c r="D44" s="6" t="s">
        <v>210</v>
      </c>
      <c r="E44" s="6" t="s">
        <v>211</v>
      </c>
      <c r="F44" s="6" t="s">
        <v>212</v>
      </c>
      <c r="G44" s="6" t="s">
        <v>52</v>
      </c>
      <c r="H44" s="6" t="s">
        <v>53</v>
      </c>
      <c r="I44" s="6" t="s">
        <v>213</v>
      </c>
      <c r="J44" s="6" t="s">
        <v>214</v>
      </c>
      <c r="K44" s="8" t="s">
        <v>56</v>
      </c>
      <c r="L44" s="6" t="s">
        <v>215</v>
      </c>
    </row>
    <row r="45" customFormat="false" ht="23.85" hidden="false" customHeight="false" outlineLevel="0" collapsed="false">
      <c r="A45" s="6" t="s">
        <v>207</v>
      </c>
      <c r="B45" s="6" t="s">
        <v>208</v>
      </c>
      <c r="C45" s="6" t="s">
        <v>209</v>
      </c>
      <c r="D45" s="6" t="s">
        <v>210</v>
      </c>
      <c r="E45" s="6" t="s">
        <v>211</v>
      </c>
      <c r="F45" s="6" t="s">
        <v>216</v>
      </c>
      <c r="G45" s="6" t="s">
        <v>52</v>
      </c>
      <c r="H45" s="6" t="s">
        <v>53</v>
      </c>
      <c r="I45" s="6" t="s">
        <v>217</v>
      </c>
      <c r="J45" s="6" t="s">
        <v>218</v>
      </c>
      <c r="K45" s="9" t="s">
        <v>103</v>
      </c>
      <c r="L45" s="6" t="s">
        <v>219</v>
      </c>
    </row>
    <row r="46" customFormat="false" ht="23.85" hidden="false" customHeight="false" outlineLevel="0" collapsed="false">
      <c r="A46" s="6" t="s">
        <v>207</v>
      </c>
      <c r="B46" s="6" t="s">
        <v>208</v>
      </c>
      <c r="C46" s="6" t="s">
        <v>220</v>
      </c>
      <c r="D46" s="6" t="s">
        <v>221</v>
      </c>
      <c r="E46" s="6" t="s">
        <v>222</v>
      </c>
      <c r="F46" s="6" t="s">
        <v>223</v>
      </c>
      <c r="G46" s="6" t="s">
        <v>224</v>
      </c>
      <c r="H46" s="6" t="s">
        <v>46</v>
      </c>
      <c r="I46" s="6" t="s">
        <v>225</v>
      </c>
      <c r="J46" s="6" t="s">
        <v>65</v>
      </c>
      <c r="K46" s="7" t="s">
        <v>49</v>
      </c>
      <c r="L46" s="6" t="s">
        <v>226</v>
      </c>
    </row>
    <row r="47" customFormat="false" ht="15" hidden="false" customHeight="false" outlineLevel="0" collapsed="false">
      <c r="A47" s="6" t="s">
        <v>207</v>
      </c>
      <c r="B47" s="6" t="s">
        <v>227</v>
      </c>
      <c r="C47" s="6" t="s">
        <v>228</v>
      </c>
      <c r="D47" s="6" t="s">
        <v>229</v>
      </c>
      <c r="E47" s="6" t="s">
        <v>230</v>
      </c>
      <c r="F47" s="6" t="s">
        <v>231</v>
      </c>
      <c r="G47" s="6" t="s">
        <v>52</v>
      </c>
      <c r="H47" s="6" t="s">
        <v>53</v>
      </c>
      <c r="I47" s="6" t="s">
        <v>232</v>
      </c>
      <c r="J47" s="6" t="s">
        <v>65</v>
      </c>
      <c r="K47" s="9" t="s">
        <v>103</v>
      </c>
      <c r="L47" s="6"/>
    </row>
    <row r="48" customFormat="false" ht="23.85" hidden="false" customHeight="false" outlineLevel="0" collapsed="false">
      <c r="A48" s="6" t="s">
        <v>207</v>
      </c>
      <c r="B48" s="6" t="s">
        <v>227</v>
      </c>
      <c r="C48" s="6" t="s">
        <v>233</v>
      </c>
      <c r="D48" s="6" t="s">
        <v>234</v>
      </c>
      <c r="E48" s="6" t="s">
        <v>235</v>
      </c>
      <c r="F48" s="6" t="s">
        <v>236</v>
      </c>
      <c r="G48" s="6" t="s">
        <v>237</v>
      </c>
      <c r="H48" s="6" t="s">
        <v>56</v>
      </c>
      <c r="I48" s="6" t="s">
        <v>232</v>
      </c>
      <c r="J48" s="6" t="s">
        <v>65</v>
      </c>
      <c r="K48" s="9" t="s">
        <v>103</v>
      </c>
      <c r="L48" s="6" t="s">
        <v>238</v>
      </c>
    </row>
    <row r="49" customFormat="false" ht="15" hidden="false" customHeight="false" outlineLevel="0" collapsed="false">
      <c r="A49" s="6" t="s">
        <v>207</v>
      </c>
      <c r="B49" s="6" t="s">
        <v>227</v>
      </c>
      <c r="C49" s="6" t="s">
        <v>233</v>
      </c>
      <c r="D49" s="6" t="s">
        <v>234</v>
      </c>
      <c r="E49" s="6" t="s">
        <v>235</v>
      </c>
      <c r="F49" s="6" t="s">
        <v>239</v>
      </c>
      <c r="G49" s="6" t="s">
        <v>224</v>
      </c>
      <c r="H49" s="6" t="s">
        <v>46</v>
      </c>
      <c r="I49" s="6" t="s">
        <v>240</v>
      </c>
      <c r="J49" s="6" t="s">
        <v>65</v>
      </c>
      <c r="K49" s="7" t="s">
        <v>49</v>
      </c>
      <c r="L49" s="6" t="s">
        <v>241</v>
      </c>
    </row>
    <row r="50" customFormat="false" ht="15" hidden="false" customHeight="false" outlineLevel="0" collapsed="false">
      <c r="A50" s="6" t="s">
        <v>207</v>
      </c>
      <c r="B50" s="6" t="s">
        <v>242</v>
      </c>
      <c r="C50" s="6" t="s">
        <v>243</v>
      </c>
      <c r="D50" s="6" t="s">
        <v>244</v>
      </c>
      <c r="E50" s="6" t="s">
        <v>245</v>
      </c>
      <c r="F50" s="6" t="s">
        <v>246</v>
      </c>
      <c r="G50" s="6" t="s">
        <v>52</v>
      </c>
      <c r="H50" s="6" t="s">
        <v>53</v>
      </c>
      <c r="I50" s="6" t="s">
        <v>232</v>
      </c>
      <c r="J50" s="6" t="s">
        <v>65</v>
      </c>
      <c r="K50" s="9" t="s">
        <v>103</v>
      </c>
      <c r="L50" s="6"/>
    </row>
    <row r="51" customFormat="false" ht="15" hidden="false" customHeight="false" outlineLevel="0" collapsed="false">
      <c r="A51" s="6" t="s">
        <v>207</v>
      </c>
      <c r="B51" s="6" t="s">
        <v>242</v>
      </c>
      <c r="C51" s="6" t="s">
        <v>243</v>
      </c>
      <c r="D51" s="6" t="s">
        <v>244</v>
      </c>
      <c r="E51" s="6" t="s">
        <v>245</v>
      </c>
      <c r="F51" s="6" t="s">
        <v>247</v>
      </c>
      <c r="G51" s="6" t="s">
        <v>224</v>
      </c>
      <c r="H51" s="6" t="s">
        <v>46</v>
      </c>
      <c r="I51" s="6" t="s">
        <v>240</v>
      </c>
      <c r="J51" s="6" t="s">
        <v>65</v>
      </c>
      <c r="K51" s="7" t="s">
        <v>49</v>
      </c>
      <c r="L51" s="6"/>
    </row>
    <row r="52" customFormat="false" ht="15" hidden="false" customHeight="false" outlineLevel="0" collapsed="false">
      <c r="A52" s="6" t="s">
        <v>207</v>
      </c>
      <c r="B52" s="6" t="s">
        <v>248</v>
      </c>
      <c r="C52" s="6" t="s">
        <v>249</v>
      </c>
      <c r="D52" s="6" t="s">
        <v>250</v>
      </c>
      <c r="E52" s="6" t="s">
        <v>251</v>
      </c>
      <c r="F52" s="6" t="s">
        <v>252</v>
      </c>
      <c r="G52" s="6" t="s">
        <v>52</v>
      </c>
      <c r="H52" s="6" t="s">
        <v>53</v>
      </c>
      <c r="I52" s="6" t="s">
        <v>232</v>
      </c>
      <c r="J52" s="6" t="s">
        <v>65</v>
      </c>
      <c r="K52" s="9" t="s">
        <v>103</v>
      </c>
      <c r="L52" s="6" t="s">
        <v>253</v>
      </c>
    </row>
    <row r="53" customFormat="false" ht="15" hidden="false" customHeight="false" outlineLevel="0" collapsed="false">
      <c r="A53" s="6" t="s">
        <v>207</v>
      </c>
      <c r="B53" s="6" t="s">
        <v>254</v>
      </c>
      <c r="C53" s="6" t="s">
        <v>255</v>
      </c>
      <c r="D53" s="6" t="s">
        <v>256</v>
      </c>
      <c r="E53" s="6" t="s">
        <v>257</v>
      </c>
      <c r="F53" s="6" t="s">
        <v>258</v>
      </c>
      <c r="G53" s="6" t="s">
        <v>52</v>
      </c>
      <c r="H53" s="6" t="s">
        <v>53</v>
      </c>
      <c r="I53" s="6" t="s">
        <v>232</v>
      </c>
      <c r="J53" s="6" t="s">
        <v>65</v>
      </c>
      <c r="K53" s="9" t="s">
        <v>103</v>
      </c>
      <c r="L53" s="6"/>
    </row>
    <row r="54" customFormat="false" ht="15" hidden="false" customHeight="false" outlineLevel="0" collapsed="false">
      <c r="A54" s="6" t="s">
        <v>207</v>
      </c>
      <c r="B54" s="6" t="s">
        <v>259</v>
      </c>
      <c r="C54" s="6" t="s">
        <v>260</v>
      </c>
      <c r="D54" s="6" t="s">
        <v>261</v>
      </c>
      <c r="E54" s="6" t="s">
        <v>262</v>
      </c>
      <c r="F54" s="6" t="s">
        <v>263</v>
      </c>
      <c r="G54" s="6" t="s">
        <v>52</v>
      </c>
      <c r="H54" s="6" t="s">
        <v>53</v>
      </c>
      <c r="I54" s="6" t="s">
        <v>232</v>
      </c>
      <c r="J54" s="6" t="s">
        <v>65</v>
      </c>
      <c r="K54" s="9" t="s">
        <v>103</v>
      </c>
      <c r="L54" s="6"/>
    </row>
    <row r="55" customFormat="false" ht="15" hidden="false" customHeight="false" outlineLevel="0" collapsed="false">
      <c r="A55" s="6" t="s">
        <v>207</v>
      </c>
      <c r="B55" s="6" t="s">
        <v>264</v>
      </c>
      <c r="C55" s="6" t="s">
        <v>265</v>
      </c>
      <c r="D55" s="6" t="s">
        <v>266</v>
      </c>
      <c r="E55" s="6" t="s">
        <v>267</v>
      </c>
      <c r="F55" s="6" t="s">
        <v>268</v>
      </c>
      <c r="G55" s="6" t="s">
        <v>52</v>
      </c>
      <c r="H55" s="6" t="s">
        <v>53</v>
      </c>
      <c r="I55" s="6" t="s">
        <v>232</v>
      </c>
      <c r="J55" s="6" t="s">
        <v>65</v>
      </c>
      <c r="K55" s="9" t="s">
        <v>103</v>
      </c>
      <c r="L55" s="6"/>
    </row>
    <row r="56" customFormat="false" ht="15" hidden="false" customHeight="false" outlineLevel="0" collapsed="false">
      <c r="A56" s="6" t="s">
        <v>207</v>
      </c>
      <c r="B56" s="6" t="s">
        <v>269</v>
      </c>
      <c r="C56" s="6" t="s">
        <v>270</v>
      </c>
      <c r="D56" s="6" t="s">
        <v>271</v>
      </c>
      <c r="E56" s="6" t="s">
        <v>272</v>
      </c>
      <c r="F56" s="6" t="s">
        <v>273</v>
      </c>
      <c r="G56" s="6" t="s">
        <v>52</v>
      </c>
      <c r="H56" s="6" t="s">
        <v>53</v>
      </c>
      <c r="I56" s="6" t="s">
        <v>232</v>
      </c>
      <c r="J56" s="6" t="s">
        <v>65</v>
      </c>
      <c r="K56" s="9" t="s">
        <v>103</v>
      </c>
      <c r="L56" s="6"/>
    </row>
    <row r="57" customFormat="false" ht="15" hidden="false" customHeight="false" outlineLevel="0" collapsed="false">
      <c r="A57" s="6" t="s">
        <v>207</v>
      </c>
      <c r="B57" s="6" t="s">
        <v>274</v>
      </c>
      <c r="C57" s="6" t="s">
        <v>275</v>
      </c>
      <c r="D57" s="6" t="s">
        <v>276</v>
      </c>
      <c r="E57" s="6" t="s">
        <v>277</v>
      </c>
      <c r="F57" s="6" t="s">
        <v>278</v>
      </c>
      <c r="G57" s="6" t="s">
        <v>52</v>
      </c>
      <c r="H57" s="6" t="s">
        <v>53</v>
      </c>
      <c r="I57" s="6" t="s">
        <v>232</v>
      </c>
      <c r="J57" s="6" t="s">
        <v>65</v>
      </c>
      <c r="K57" s="9" t="s">
        <v>103</v>
      </c>
      <c r="L57" s="6"/>
    </row>
    <row r="58" customFormat="false" ht="15" hidden="false" customHeight="false" outlineLevel="0" collapsed="false">
      <c r="A58" s="6" t="s">
        <v>207</v>
      </c>
      <c r="B58" s="6" t="s">
        <v>279</v>
      </c>
      <c r="C58" s="6" t="s">
        <v>280</v>
      </c>
      <c r="D58" s="6" t="s">
        <v>281</v>
      </c>
      <c r="E58" s="6" t="s">
        <v>282</v>
      </c>
      <c r="F58" s="6" t="s">
        <v>283</v>
      </c>
      <c r="G58" s="6" t="s">
        <v>52</v>
      </c>
      <c r="H58" s="6" t="s">
        <v>53</v>
      </c>
      <c r="I58" s="6" t="s">
        <v>232</v>
      </c>
      <c r="J58" s="6" t="s">
        <v>65</v>
      </c>
      <c r="K58" s="9" t="s">
        <v>103</v>
      </c>
      <c r="L58" s="6"/>
    </row>
    <row r="59" customFormat="false" ht="15" hidden="false" customHeight="false" outlineLevel="0" collapsed="false">
      <c r="A59" s="6" t="s">
        <v>207</v>
      </c>
      <c r="B59" s="6" t="s">
        <v>284</v>
      </c>
      <c r="C59" s="6" t="s">
        <v>285</v>
      </c>
      <c r="D59" s="6" t="s">
        <v>286</v>
      </c>
      <c r="E59" s="6" t="s">
        <v>287</v>
      </c>
      <c r="F59" s="6" t="s">
        <v>288</v>
      </c>
      <c r="G59" s="6" t="s">
        <v>52</v>
      </c>
      <c r="H59" s="6" t="s">
        <v>53</v>
      </c>
      <c r="I59" s="6" t="s">
        <v>232</v>
      </c>
      <c r="J59" s="6" t="s">
        <v>65</v>
      </c>
      <c r="K59" s="9" t="s">
        <v>103</v>
      </c>
      <c r="L59" s="6"/>
    </row>
    <row r="60" customFormat="false" ht="15" hidden="false" customHeight="false" outlineLevel="0" collapsed="false">
      <c r="A60" s="6" t="s">
        <v>207</v>
      </c>
      <c r="B60" s="6" t="s">
        <v>289</v>
      </c>
      <c r="C60" s="6" t="s">
        <v>290</v>
      </c>
      <c r="D60" s="6" t="s">
        <v>291</v>
      </c>
      <c r="E60" s="6" t="s">
        <v>292</v>
      </c>
      <c r="F60" s="6" t="s">
        <v>293</v>
      </c>
      <c r="G60" s="6" t="s">
        <v>52</v>
      </c>
      <c r="H60" s="6" t="s">
        <v>53</v>
      </c>
      <c r="I60" s="6" t="s">
        <v>232</v>
      </c>
      <c r="J60" s="6" t="s">
        <v>65</v>
      </c>
      <c r="K60" s="9" t="s">
        <v>103</v>
      </c>
      <c r="L60" s="6"/>
    </row>
    <row r="61" customFormat="false" ht="23.85" hidden="false" customHeight="false" outlineLevel="0" collapsed="false">
      <c r="A61" s="6" t="s">
        <v>207</v>
      </c>
      <c r="B61" s="6" t="s">
        <v>294</v>
      </c>
      <c r="C61" s="6" t="s">
        <v>295</v>
      </c>
      <c r="D61" s="6" t="s">
        <v>296</v>
      </c>
      <c r="E61" s="6" t="s">
        <v>297</v>
      </c>
      <c r="F61" s="6" t="s">
        <v>298</v>
      </c>
      <c r="G61" s="6" t="s">
        <v>45</v>
      </c>
      <c r="H61" s="6" t="s">
        <v>46</v>
      </c>
      <c r="I61" s="6" t="s">
        <v>299</v>
      </c>
      <c r="J61" s="6" t="s">
        <v>65</v>
      </c>
      <c r="K61" s="7" t="s">
        <v>49</v>
      </c>
      <c r="L61" s="6" t="s">
        <v>300</v>
      </c>
    </row>
    <row r="62" customFormat="false" ht="23.85" hidden="false" customHeight="false" outlineLevel="0" collapsed="false">
      <c r="A62" s="6" t="s">
        <v>301</v>
      </c>
      <c r="B62" s="6" t="s">
        <v>302</v>
      </c>
      <c r="C62" s="6" t="s">
        <v>303</v>
      </c>
      <c r="D62" s="6" t="s">
        <v>304</v>
      </c>
      <c r="E62" s="6" t="s">
        <v>305</v>
      </c>
      <c r="F62" s="6" t="s">
        <v>306</v>
      </c>
      <c r="G62" s="6" t="s">
        <v>45</v>
      </c>
      <c r="H62" s="6" t="s">
        <v>46</v>
      </c>
      <c r="I62" s="6" t="s">
        <v>307</v>
      </c>
      <c r="J62" s="6" t="s">
        <v>65</v>
      </c>
      <c r="K62" s="7" t="s">
        <v>49</v>
      </c>
      <c r="L62" s="6" t="s">
        <v>308</v>
      </c>
    </row>
    <row r="63" customFormat="false" ht="35.05" hidden="false" customHeight="false" outlineLevel="0" collapsed="false">
      <c r="A63" s="6" t="s">
        <v>301</v>
      </c>
      <c r="B63" s="6" t="s">
        <v>302</v>
      </c>
      <c r="C63" s="6" t="s">
        <v>303</v>
      </c>
      <c r="D63" s="6" t="s">
        <v>304</v>
      </c>
      <c r="E63" s="6" t="s">
        <v>305</v>
      </c>
      <c r="F63" s="6" t="s">
        <v>309</v>
      </c>
      <c r="G63" s="6" t="s">
        <v>52</v>
      </c>
      <c r="H63" s="6" t="s">
        <v>46</v>
      </c>
      <c r="I63" s="6" t="s">
        <v>299</v>
      </c>
      <c r="J63" s="6" t="s">
        <v>65</v>
      </c>
      <c r="K63" s="8" t="s">
        <v>56</v>
      </c>
      <c r="L63" s="6" t="s">
        <v>310</v>
      </c>
    </row>
    <row r="64" customFormat="false" ht="15" hidden="false" customHeight="false" outlineLevel="0" collapsed="false">
      <c r="A64" s="6" t="s">
        <v>301</v>
      </c>
      <c r="B64" s="6" t="s">
        <v>302</v>
      </c>
      <c r="C64" s="6" t="s">
        <v>303</v>
      </c>
      <c r="D64" s="6" t="s">
        <v>304</v>
      </c>
      <c r="E64" s="6" t="s">
        <v>305</v>
      </c>
      <c r="F64" s="6" t="s">
        <v>311</v>
      </c>
      <c r="G64" s="6" t="s">
        <v>45</v>
      </c>
      <c r="H64" s="6" t="s">
        <v>46</v>
      </c>
      <c r="I64" s="6" t="s">
        <v>312</v>
      </c>
      <c r="J64" s="6" t="s">
        <v>65</v>
      </c>
      <c r="K64" s="7" t="s">
        <v>49</v>
      </c>
      <c r="L64" s="6" t="s">
        <v>313</v>
      </c>
    </row>
    <row r="65" customFormat="false" ht="15" hidden="false" customHeight="false" outlineLevel="0" collapsed="false">
      <c r="A65" s="6" t="s">
        <v>301</v>
      </c>
      <c r="B65" s="6" t="s">
        <v>314</v>
      </c>
      <c r="C65" s="6" t="s">
        <v>315</v>
      </c>
      <c r="D65" s="6" t="s">
        <v>316</v>
      </c>
      <c r="E65" s="6" t="s">
        <v>317</v>
      </c>
      <c r="F65" s="6" t="s">
        <v>318</v>
      </c>
      <c r="G65" s="6" t="s">
        <v>52</v>
      </c>
      <c r="H65" s="6" t="s">
        <v>53</v>
      </c>
      <c r="I65" s="6" t="s">
        <v>98</v>
      </c>
      <c r="J65" s="6" t="s">
        <v>134</v>
      </c>
      <c r="K65" s="8" t="s">
        <v>56</v>
      </c>
      <c r="L65" s="6"/>
    </row>
    <row r="66" customFormat="false" ht="15" hidden="false" customHeight="false" outlineLevel="0" collapsed="false">
      <c r="A66" s="6" t="s">
        <v>301</v>
      </c>
      <c r="B66" s="6" t="s">
        <v>319</v>
      </c>
      <c r="C66" s="6" t="s">
        <v>320</v>
      </c>
      <c r="D66" s="6" t="s">
        <v>321</v>
      </c>
      <c r="E66" s="6" t="s">
        <v>322</v>
      </c>
      <c r="F66" s="6" t="s">
        <v>323</v>
      </c>
      <c r="G66" s="6" t="s">
        <v>45</v>
      </c>
      <c r="H66" s="6" t="s">
        <v>46</v>
      </c>
      <c r="I66" s="6" t="s">
        <v>88</v>
      </c>
      <c r="J66" s="6" t="s">
        <v>65</v>
      </c>
      <c r="K66" s="7" t="s">
        <v>49</v>
      </c>
      <c r="L66" s="6" t="s">
        <v>324</v>
      </c>
    </row>
    <row r="67" customFormat="false" ht="15" hidden="false" customHeight="false" outlineLevel="0" collapsed="false">
      <c r="A67" s="6" t="s">
        <v>301</v>
      </c>
      <c r="B67" s="6" t="s">
        <v>325</v>
      </c>
      <c r="C67" s="6" t="s">
        <v>326</v>
      </c>
      <c r="D67" s="6" t="s">
        <v>327</v>
      </c>
      <c r="E67" s="6" t="s">
        <v>328</v>
      </c>
      <c r="F67" s="6" t="s">
        <v>329</v>
      </c>
      <c r="G67" s="6" t="s">
        <v>45</v>
      </c>
      <c r="H67" s="6" t="s">
        <v>46</v>
      </c>
      <c r="I67" s="6" t="s">
        <v>88</v>
      </c>
      <c r="J67" s="6" t="s">
        <v>65</v>
      </c>
      <c r="K67" s="7" t="s">
        <v>49</v>
      </c>
      <c r="L67" s="6"/>
    </row>
    <row r="68" customFormat="false" ht="15" hidden="false" customHeight="false" outlineLevel="0" collapsed="false">
      <c r="A68" s="6" t="s">
        <v>301</v>
      </c>
      <c r="B68" s="6" t="s">
        <v>330</v>
      </c>
      <c r="C68" s="6" t="s">
        <v>331</v>
      </c>
      <c r="D68" s="6" t="s">
        <v>332</v>
      </c>
      <c r="E68" s="6" t="s">
        <v>333</v>
      </c>
      <c r="F68" s="6" t="s">
        <v>334</v>
      </c>
      <c r="G68" s="6" t="s">
        <v>45</v>
      </c>
      <c r="H68" s="6" t="s">
        <v>46</v>
      </c>
      <c r="I68" s="6" t="s">
        <v>88</v>
      </c>
      <c r="J68" s="6" t="s">
        <v>65</v>
      </c>
      <c r="K68" s="7" t="s">
        <v>49</v>
      </c>
      <c r="L68" s="6"/>
    </row>
    <row r="69" customFormat="false" ht="15" hidden="false" customHeight="false" outlineLevel="0" collapsed="false">
      <c r="A69" s="6" t="s">
        <v>301</v>
      </c>
      <c r="B69" s="6" t="s">
        <v>335</v>
      </c>
      <c r="C69" s="6" t="s">
        <v>336</v>
      </c>
      <c r="D69" s="6" t="s">
        <v>337</v>
      </c>
      <c r="E69" s="6" t="s">
        <v>338</v>
      </c>
      <c r="F69" s="6" t="s">
        <v>339</v>
      </c>
      <c r="G69" s="6" t="s">
        <v>45</v>
      </c>
      <c r="H69" s="6" t="s">
        <v>46</v>
      </c>
      <c r="I69" s="6" t="s">
        <v>88</v>
      </c>
      <c r="J69" s="6" t="s">
        <v>65</v>
      </c>
      <c r="K69" s="7" t="s">
        <v>49</v>
      </c>
      <c r="L69" s="6"/>
    </row>
    <row r="70" customFormat="false" ht="15" hidden="false" customHeight="false" outlineLevel="0" collapsed="false">
      <c r="A70" s="6" t="s">
        <v>301</v>
      </c>
      <c r="B70" s="6" t="s">
        <v>340</v>
      </c>
      <c r="C70" s="6" t="s">
        <v>341</v>
      </c>
      <c r="D70" s="6" t="s">
        <v>342</v>
      </c>
      <c r="E70" s="6" t="s">
        <v>343</v>
      </c>
      <c r="F70" s="6" t="s">
        <v>344</v>
      </c>
      <c r="G70" s="6" t="s">
        <v>45</v>
      </c>
      <c r="H70" s="6" t="s">
        <v>46</v>
      </c>
      <c r="I70" s="6" t="s">
        <v>88</v>
      </c>
      <c r="J70" s="6" t="s">
        <v>65</v>
      </c>
      <c r="K70" s="7" t="s">
        <v>49</v>
      </c>
      <c r="L70" s="6"/>
    </row>
    <row r="71" customFormat="false" ht="23.85" hidden="false" customHeight="false" outlineLevel="0" collapsed="false">
      <c r="A71" s="6" t="s">
        <v>301</v>
      </c>
      <c r="B71" s="6" t="s">
        <v>345</v>
      </c>
      <c r="C71" s="6" t="s">
        <v>346</v>
      </c>
      <c r="D71" s="6" t="s">
        <v>347</v>
      </c>
      <c r="E71" s="6" t="s">
        <v>348</v>
      </c>
      <c r="F71" s="6" t="s">
        <v>349</v>
      </c>
      <c r="G71" s="6" t="s">
        <v>350</v>
      </c>
      <c r="H71" s="6" t="s">
        <v>46</v>
      </c>
      <c r="I71" s="6" t="s">
        <v>88</v>
      </c>
      <c r="J71" s="6" t="s">
        <v>351</v>
      </c>
      <c r="K71" s="7" t="s">
        <v>49</v>
      </c>
      <c r="L71" s="6" t="s">
        <v>352</v>
      </c>
    </row>
    <row r="72" customFormat="false" ht="15" hidden="false" customHeight="false" outlineLevel="0" collapsed="false">
      <c r="A72" s="6" t="s">
        <v>301</v>
      </c>
      <c r="B72" s="6" t="s">
        <v>353</v>
      </c>
      <c r="C72" s="6" t="s">
        <v>354</v>
      </c>
      <c r="D72" s="6" t="s">
        <v>355</v>
      </c>
      <c r="E72" s="6" t="s">
        <v>356</v>
      </c>
      <c r="F72" s="6" t="s">
        <v>357</v>
      </c>
      <c r="G72" s="6" t="s">
        <v>45</v>
      </c>
      <c r="H72" s="6" t="s">
        <v>46</v>
      </c>
      <c r="I72" s="6" t="s">
        <v>88</v>
      </c>
      <c r="J72" s="6" t="s">
        <v>65</v>
      </c>
      <c r="K72" s="7" t="s">
        <v>49</v>
      </c>
      <c r="L72" s="6"/>
    </row>
    <row r="73" customFormat="false" ht="15" hidden="false" customHeight="false" outlineLevel="0" collapsed="false">
      <c r="A73" s="6" t="s">
        <v>301</v>
      </c>
      <c r="B73" s="6" t="s">
        <v>358</v>
      </c>
      <c r="C73" s="6" t="s">
        <v>359</v>
      </c>
      <c r="D73" s="6" t="s">
        <v>360</v>
      </c>
      <c r="E73" s="6" t="s">
        <v>361</v>
      </c>
      <c r="F73" s="6" t="s">
        <v>362</v>
      </c>
      <c r="G73" s="6" t="s">
        <v>45</v>
      </c>
      <c r="H73" s="6" t="s">
        <v>46</v>
      </c>
      <c r="I73" s="6" t="s">
        <v>88</v>
      </c>
      <c r="J73" s="6" t="s">
        <v>65</v>
      </c>
      <c r="K73" s="7" t="s">
        <v>49</v>
      </c>
      <c r="L73" s="6"/>
    </row>
    <row r="74" customFormat="false" ht="15" hidden="false" customHeight="false" outlineLevel="0" collapsed="false">
      <c r="A74" s="6" t="s">
        <v>301</v>
      </c>
      <c r="B74" s="6" t="s">
        <v>363</v>
      </c>
      <c r="C74" s="6" t="s">
        <v>364</v>
      </c>
      <c r="D74" s="6" t="s">
        <v>365</v>
      </c>
      <c r="E74" s="6" t="s">
        <v>366</v>
      </c>
      <c r="F74" s="6" t="s">
        <v>367</v>
      </c>
      <c r="G74" s="6" t="s">
        <v>45</v>
      </c>
      <c r="H74" s="6" t="s">
        <v>46</v>
      </c>
      <c r="I74" s="6" t="s">
        <v>88</v>
      </c>
      <c r="J74" s="6" t="s">
        <v>65</v>
      </c>
      <c r="K74" s="7" t="s">
        <v>49</v>
      </c>
      <c r="L74" s="6"/>
    </row>
    <row r="75" customFormat="false" ht="15" hidden="false" customHeight="false" outlineLevel="0" collapsed="false">
      <c r="A75" s="6" t="s">
        <v>301</v>
      </c>
      <c r="B75" s="6" t="s">
        <v>368</v>
      </c>
      <c r="C75" s="6" t="s">
        <v>369</v>
      </c>
      <c r="D75" s="6" t="s">
        <v>370</v>
      </c>
      <c r="E75" s="6" t="s">
        <v>371</v>
      </c>
      <c r="F75" s="6" t="s">
        <v>372</v>
      </c>
      <c r="G75" s="6" t="s">
        <v>45</v>
      </c>
      <c r="H75" s="6" t="s">
        <v>46</v>
      </c>
      <c r="I75" s="6" t="s">
        <v>88</v>
      </c>
      <c r="J75" s="6" t="s">
        <v>65</v>
      </c>
      <c r="K75" s="7" t="s">
        <v>49</v>
      </c>
      <c r="L75" s="6"/>
    </row>
    <row r="76" customFormat="false" ht="15" hidden="false" customHeight="false" outlineLevel="0" collapsed="false">
      <c r="A76" s="6" t="s">
        <v>301</v>
      </c>
      <c r="B76" s="6" t="s">
        <v>373</v>
      </c>
      <c r="C76" s="6" t="s">
        <v>374</v>
      </c>
      <c r="D76" s="6" t="s">
        <v>375</v>
      </c>
      <c r="E76" s="6" t="s">
        <v>376</v>
      </c>
      <c r="F76" s="6" t="s">
        <v>377</v>
      </c>
      <c r="G76" s="6" t="s">
        <v>52</v>
      </c>
      <c r="H76" s="6" t="s">
        <v>53</v>
      </c>
      <c r="I76" s="6" t="s">
        <v>98</v>
      </c>
      <c r="J76" s="6" t="s">
        <v>134</v>
      </c>
      <c r="K76" s="8" t="s">
        <v>56</v>
      </c>
      <c r="L76" s="6"/>
    </row>
    <row r="77" customFormat="false" ht="15" hidden="false" customHeight="false" outlineLevel="0" collapsed="false">
      <c r="A77" s="6" t="s">
        <v>301</v>
      </c>
      <c r="B77" s="6" t="s">
        <v>373</v>
      </c>
      <c r="C77" s="6" t="s">
        <v>374</v>
      </c>
      <c r="D77" s="6" t="s">
        <v>375</v>
      </c>
      <c r="E77" s="6" t="s">
        <v>376</v>
      </c>
      <c r="F77" s="6" t="s">
        <v>378</v>
      </c>
      <c r="G77" s="6" t="s">
        <v>45</v>
      </c>
      <c r="H77" s="6" t="s">
        <v>46</v>
      </c>
      <c r="I77" s="6" t="s">
        <v>379</v>
      </c>
      <c r="J77" s="6" t="s">
        <v>65</v>
      </c>
      <c r="K77" s="7" t="s">
        <v>49</v>
      </c>
      <c r="L77" s="6"/>
    </row>
    <row r="78" customFormat="false" ht="15" hidden="false" customHeight="false" outlineLevel="0" collapsed="false">
      <c r="A78" s="6" t="s">
        <v>301</v>
      </c>
      <c r="B78" s="6" t="s">
        <v>380</v>
      </c>
      <c r="C78" s="6" t="s">
        <v>381</v>
      </c>
      <c r="D78" s="6" t="s">
        <v>382</v>
      </c>
      <c r="E78" s="6" t="s">
        <v>383</v>
      </c>
      <c r="F78" s="6" t="s">
        <v>384</v>
      </c>
      <c r="G78" s="6" t="s">
        <v>52</v>
      </c>
      <c r="H78" s="6" t="s">
        <v>53</v>
      </c>
      <c r="I78" s="6" t="s">
        <v>98</v>
      </c>
      <c r="J78" s="6" t="s">
        <v>134</v>
      </c>
      <c r="K78" s="8" t="s">
        <v>56</v>
      </c>
      <c r="L78" s="6"/>
    </row>
    <row r="79" customFormat="false" ht="15" hidden="false" customHeight="false" outlineLevel="0" collapsed="false">
      <c r="A79" s="6" t="s">
        <v>301</v>
      </c>
      <c r="B79" s="6" t="s">
        <v>380</v>
      </c>
      <c r="C79" s="6" t="s">
        <v>381</v>
      </c>
      <c r="D79" s="6" t="s">
        <v>382</v>
      </c>
      <c r="E79" s="6" t="s">
        <v>383</v>
      </c>
      <c r="F79" s="6" t="s">
        <v>385</v>
      </c>
      <c r="G79" s="6" t="s">
        <v>45</v>
      </c>
      <c r="H79" s="6" t="s">
        <v>46</v>
      </c>
      <c r="I79" s="6" t="s">
        <v>379</v>
      </c>
      <c r="J79" s="6" t="s">
        <v>65</v>
      </c>
      <c r="K79" s="7" t="s">
        <v>49</v>
      </c>
      <c r="L79" s="6"/>
    </row>
    <row r="80" customFormat="false" ht="15" hidden="false" customHeight="false" outlineLevel="0" collapsed="false">
      <c r="A80" s="6" t="s">
        <v>301</v>
      </c>
      <c r="B80" s="6" t="s">
        <v>386</v>
      </c>
      <c r="C80" s="6" t="s">
        <v>387</v>
      </c>
      <c r="D80" s="6" t="s">
        <v>388</v>
      </c>
      <c r="E80" s="6" t="s">
        <v>389</v>
      </c>
      <c r="F80" s="6" t="s">
        <v>390</v>
      </c>
      <c r="G80" s="6" t="s">
        <v>52</v>
      </c>
      <c r="H80" s="6" t="s">
        <v>53</v>
      </c>
      <c r="I80" s="6" t="s">
        <v>98</v>
      </c>
      <c r="J80" s="6" t="s">
        <v>134</v>
      </c>
      <c r="K80" s="8" t="s">
        <v>56</v>
      </c>
      <c r="L80" s="6" t="s">
        <v>391</v>
      </c>
    </row>
    <row r="81" customFormat="false" ht="15" hidden="false" customHeight="false" outlineLevel="0" collapsed="false">
      <c r="A81" s="6" t="s">
        <v>301</v>
      </c>
      <c r="B81" s="6" t="s">
        <v>392</v>
      </c>
      <c r="C81" s="6" t="s">
        <v>393</v>
      </c>
      <c r="D81" s="6" t="s">
        <v>394</v>
      </c>
      <c r="E81" s="6" t="s">
        <v>395</v>
      </c>
      <c r="F81" s="6" t="s">
        <v>396</v>
      </c>
      <c r="G81" s="6" t="s">
        <v>52</v>
      </c>
      <c r="H81" s="6" t="s">
        <v>53</v>
      </c>
      <c r="I81" s="6" t="s">
        <v>98</v>
      </c>
      <c r="J81" s="6" t="s">
        <v>397</v>
      </c>
      <c r="K81" s="8" t="s">
        <v>56</v>
      </c>
      <c r="L81" s="6"/>
    </row>
    <row r="82" customFormat="false" ht="23.85" hidden="false" customHeight="false" outlineLevel="0" collapsed="false">
      <c r="A82" s="6" t="s">
        <v>301</v>
      </c>
      <c r="B82" s="6" t="s">
        <v>398</v>
      </c>
      <c r="C82" s="6" t="s">
        <v>399</v>
      </c>
      <c r="D82" s="6" t="s">
        <v>400</v>
      </c>
      <c r="E82" s="6" t="s">
        <v>401</v>
      </c>
      <c r="F82" s="6" t="s">
        <v>402</v>
      </c>
      <c r="G82" s="6" t="s">
        <v>52</v>
      </c>
      <c r="H82" s="6" t="s">
        <v>56</v>
      </c>
      <c r="I82" s="6" t="s">
        <v>403</v>
      </c>
      <c r="J82" s="6" t="s">
        <v>65</v>
      </c>
      <c r="K82" s="9" t="s">
        <v>103</v>
      </c>
      <c r="L82" s="6" t="s">
        <v>404</v>
      </c>
    </row>
    <row r="83" customFormat="false" ht="15" hidden="false" customHeight="false" outlineLevel="0" collapsed="false">
      <c r="A83" s="6" t="s">
        <v>301</v>
      </c>
      <c r="B83" s="6" t="s">
        <v>405</v>
      </c>
      <c r="C83" s="6" t="s">
        <v>406</v>
      </c>
      <c r="D83" s="6" t="s">
        <v>407</v>
      </c>
      <c r="E83" s="6" t="s">
        <v>408</v>
      </c>
      <c r="F83" s="6" t="s">
        <v>402</v>
      </c>
      <c r="G83" s="6" t="s">
        <v>52</v>
      </c>
      <c r="H83" s="6" t="s">
        <v>56</v>
      </c>
      <c r="I83" s="6" t="s">
        <v>409</v>
      </c>
      <c r="J83" s="6" t="s">
        <v>410</v>
      </c>
      <c r="K83" s="9" t="s">
        <v>103</v>
      </c>
      <c r="L83" s="6" t="s">
        <v>411</v>
      </c>
    </row>
    <row r="84" customFormat="false" ht="35.05" hidden="false" customHeight="false" outlineLevel="0" collapsed="false">
      <c r="A84" s="6" t="s">
        <v>412</v>
      </c>
      <c r="B84" s="6" t="s">
        <v>413</v>
      </c>
      <c r="C84" s="6" t="s">
        <v>414</v>
      </c>
      <c r="D84" s="6" t="s">
        <v>415</v>
      </c>
      <c r="E84" s="6" t="s">
        <v>416</v>
      </c>
      <c r="F84" s="6" t="s">
        <v>417</v>
      </c>
      <c r="G84" s="6" t="s">
        <v>52</v>
      </c>
      <c r="H84" s="6" t="s">
        <v>53</v>
      </c>
      <c r="I84" s="6" t="s">
        <v>418</v>
      </c>
      <c r="J84" s="6" t="s">
        <v>419</v>
      </c>
      <c r="K84" s="9" t="s">
        <v>103</v>
      </c>
      <c r="L84" s="6" t="s">
        <v>420</v>
      </c>
    </row>
    <row r="85" customFormat="false" ht="23.85" hidden="false" customHeight="false" outlineLevel="0" collapsed="false">
      <c r="A85" s="6" t="s">
        <v>412</v>
      </c>
      <c r="B85" s="6" t="s">
        <v>421</v>
      </c>
      <c r="C85" s="6" t="s">
        <v>422</v>
      </c>
      <c r="D85" s="6" t="s">
        <v>423</v>
      </c>
      <c r="E85" s="6" t="s">
        <v>424</v>
      </c>
      <c r="F85" s="6" t="s">
        <v>425</v>
      </c>
      <c r="G85" s="6" t="s">
        <v>52</v>
      </c>
      <c r="H85" s="6" t="s">
        <v>53</v>
      </c>
      <c r="I85" s="6" t="s">
        <v>426</v>
      </c>
      <c r="J85" s="6" t="s">
        <v>427</v>
      </c>
      <c r="K85" s="9" t="s">
        <v>103</v>
      </c>
      <c r="L85" s="6" t="s">
        <v>428</v>
      </c>
    </row>
    <row r="86" customFormat="false" ht="15" hidden="false" customHeight="false" outlineLevel="0" collapsed="false">
      <c r="A86" s="6" t="s">
        <v>412</v>
      </c>
      <c r="B86" s="6" t="s">
        <v>429</v>
      </c>
      <c r="C86" s="6" t="s">
        <v>430</v>
      </c>
      <c r="D86" s="6" t="s">
        <v>431</v>
      </c>
      <c r="E86" s="6" t="s">
        <v>432</v>
      </c>
      <c r="F86" s="6" t="s">
        <v>433</v>
      </c>
      <c r="G86" s="6" t="s">
        <v>52</v>
      </c>
      <c r="H86" s="6" t="s">
        <v>53</v>
      </c>
      <c r="I86" s="6" t="s">
        <v>426</v>
      </c>
      <c r="J86" s="6" t="s">
        <v>65</v>
      </c>
      <c r="K86" s="9" t="s">
        <v>103</v>
      </c>
      <c r="L86" s="6" t="s">
        <v>434</v>
      </c>
    </row>
    <row r="87" customFormat="false" ht="23.85" hidden="false" customHeight="false" outlineLevel="0" collapsed="false">
      <c r="A87" s="6" t="s">
        <v>412</v>
      </c>
      <c r="B87" s="6" t="s">
        <v>435</v>
      </c>
      <c r="C87" s="6" t="s">
        <v>436</v>
      </c>
      <c r="D87" s="6" t="s">
        <v>437</v>
      </c>
      <c r="E87" s="6" t="s">
        <v>438</v>
      </c>
      <c r="F87" s="6" t="s">
        <v>439</v>
      </c>
      <c r="G87" s="6" t="s">
        <v>52</v>
      </c>
      <c r="H87" s="6" t="s">
        <v>53</v>
      </c>
      <c r="I87" s="6" t="s">
        <v>440</v>
      </c>
      <c r="J87" s="6" t="s">
        <v>65</v>
      </c>
      <c r="K87" s="9" t="s">
        <v>103</v>
      </c>
      <c r="L87" s="6" t="s">
        <v>441</v>
      </c>
    </row>
    <row r="88" customFormat="false" ht="23.85" hidden="false" customHeight="false" outlineLevel="0" collapsed="false">
      <c r="A88" s="6" t="s">
        <v>412</v>
      </c>
      <c r="B88" s="6" t="s">
        <v>435</v>
      </c>
      <c r="C88" s="6" t="s">
        <v>436</v>
      </c>
      <c r="D88" s="6" t="s">
        <v>437</v>
      </c>
      <c r="E88" s="6" t="s">
        <v>438</v>
      </c>
      <c r="F88" s="6" t="s">
        <v>442</v>
      </c>
      <c r="G88" s="6" t="s">
        <v>45</v>
      </c>
      <c r="H88" s="6" t="s">
        <v>46</v>
      </c>
      <c r="I88" s="6" t="s">
        <v>443</v>
      </c>
      <c r="J88" s="6" t="s">
        <v>65</v>
      </c>
      <c r="K88" s="7" t="s">
        <v>49</v>
      </c>
      <c r="L88" s="6" t="s">
        <v>444</v>
      </c>
    </row>
    <row r="89" customFormat="false" ht="23.85" hidden="false" customHeight="false" outlineLevel="0" collapsed="false">
      <c r="A89" s="6" t="s">
        <v>412</v>
      </c>
      <c r="B89" s="6" t="s">
        <v>445</v>
      </c>
      <c r="C89" s="6" t="s">
        <v>446</v>
      </c>
      <c r="D89" s="6" t="s">
        <v>447</v>
      </c>
      <c r="E89" s="6" t="s">
        <v>448</v>
      </c>
      <c r="F89" s="6" t="s">
        <v>449</v>
      </c>
      <c r="G89" s="6" t="s">
        <v>52</v>
      </c>
      <c r="H89" s="6" t="s">
        <v>53</v>
      </c>
      <c r="I89" s="6" t="s">
        <v>450</v>
      </c>
      <c r="J89" s="6" t="s">
        <v>65</v>
      </c>
      <c r="K89" s="9" t="s">
        <v>103</v>
      </c>
      <c r="L89" s="6" t="s">
        <v>451</v>
      </c>
    </row>
    <row r="90" customFormat="false" ht="15" hidden="false" customHeight="false" outlineLevel="0" collapsed="false">
      <c r="A90" s="6" t="s">
        <v>412</v>
      </c>
      <c r="B90" s="6" t="s">
        <v>452</v>
      </c>
      <c r="C90" s="6" t="s">
        <v>453</v>
      </c>
      <c r="D90" s="6" t="s">
        <v>454</v>
      </c>
      <c r="E90" s="6" t="s">
        <v>455</v>
      </c>
      <c r="F90" s="6" t="s">
        <v>456</v>
      </c>
      <c r="G90" s="6" t="s">
        <v>52</v>
      </c>
      <c r="H90" s="6" t="s">
        <v>53</v>
      </c>
      <c r="I90" s="6" t="s">
        <v>426</v>
      </c>
      <c r="J90" s="6" t="s">
        <v>397</v>
      </c>
      <c r="K90" s="9" t="s">
        <v>103</v>
      </c>
      <c r="L90" s="6" t="s">
        <v>457</v>
      </c>
    </row>
    <row r="91" customFormat="false" ht="23.85" hidden="false" customHeight="false" outlineLevel="0" collapsed="false">
      <c r="A91" s="6" t="s">
        <v>412</v>
      </c>
      <c r="B91" s="6" t="s">
        <v>458</v>
      </c>
      <c r="C91" s="6" t="s">
        <v>459</v>
      </c>
      <c r="D91" s="6" t="s">
        <v>460</v>
      </c>
      <c r="E91" s="6" t="s">
        <v>461</v>
      </c>
      <c r="F91" s="6" t="s">
        <v>462</v>
      </c>
      <c r="G91" s="6" t="s">
        <v>52</v>
      </c>
      <c r="H91" s="6" t="s">
        <v>53</v>
      </c>
      <c r="I91" s="6" t="s">
        <v>463</v>
      </c>
      <c r="J91" s="6" t="s">
        <v>65</v>
      </c>
      <c r="K91" s="9" t="s">
        <v>103</v>
      </c>
      <c r="L91" s="6" t="s">
        <v>464</v>
      </c>
    </row>
    <row r="92" customFormat="false" ht="15" hidden="false" customHeight="false" outlineLevel="0" collapsed="false">
      <c r="A92" s="6" t="s">
        <v>412</v>
      </c>
      <c r="B92" s="6" t="s">
        <v>465</v>
      </c>
      <c r="C92" s="6" t="s">
        <v>466</v>
      </c>
      <c r="D92" s="6" t="s">
        <v>467</v>
      </c>
      <c r="E92" s="6" t="s">
        <v>468</v>
      </c>
      <c r="F92" s="6" t="s">
        <v>469</v>
      </c>
      <c r="G92" s="6" t="s">
        <v>52</v>
      </c>
      <c r="H92" s="6" t="s">
        <v>53</v>
      </c>
      <c r="I92" s="6" t="s">
        <v>463</v>
      </c>
      <c r="J92" s="6" t="s">
        <v>65</v>
      </c>
      <c r="K92" s="9" t="s">
        <v>103</v>
      </c>
      <c r="L92" s="6"/>
    </row>
    <row r="93" customFormat="false" ht="23.85" hidden="false" customHeight="false" outlineLevel="0" collapsed="false">
      <c r="A93" s="6" t="s">
        <v>412</v>
      </c>
      <c r="B93" s="6" t="s">
        <v>470</v>
      </c>
      <c r="C93" s="6" t="s">
        <v>471</v>
      </c>
      <c r="D93" s="6" t="s">
        <v>472</v>
      </c>
      <c r="E93" s="6" t="s">
        <v>473</v>
      </c>
      <c r="F93" s="6" t="s">
        <v>474</v>
      </c>
      <c r="G93" s="6" t="s">
        <v>45</v>
      </c>
      <c r="H93" s="6" t="s">
        <v>46</v>
      </c>
      <c r="I93" s="6" t="s">
        <v>475</v>
      </c>
      <c r="J93" s="6" t="s">
        <v>65</v>
      </c>
      <c r="K93" s="7" t="s">
        <v>49</v>
      </c>
      <c r="L93" s="6" t="s">
        <v>476</v>
      </c>
    </row>
    <row r="94" customFormat="false" ht="15" hidden="false" customHeight="false" outlineLevel="0" collapsed="false">
      <c r="A94" s="6" t="s">
        <v>412</v>
      </c>
      <c r="B94" s="6" t="s">
        <v>477</v>
      </c>
      <c r="C94" s="6" t="s">
        <v>478</v>
      </c>
      <c r="D94" s="6" t="s">
        <v>479</v>
      </c>
      <c r="E94" s="6" t="s">
        <v>480</v>
      </c>
      <c r="F94" s="6" t="s">
        <v>481</v>
      </c>
      <c r="G94" s="6" t="s">
        <v>45</v>
      </c>
      <c r="H94" s="6" t="s">
        <v>46</v>
      </c>
      <c r="I94" s="6" t="s">
        <v>475</v>
      </c>
      <c r="J94" s="6" t="s">
        <v>65</v>
      </c>
      <c r="K94" s="7" t="s">
        <v>49</v>
      </c>
      <c r="L94" s="6"/>
    </row>
    <row r="95" customFormat="false" ht="35.05" hidden="false" customHeight="false" outlineLevel="0" collapsed="false">
      <c r="A95" s="6" t="s">
        <v>482</v>
      </c>
      <c r="B95" s="6" t="s">
        <v>483</v>
      </c>
      <c r="C95" s="6" t="s">
        <v>484</v>
      </c>
      <c r="D95" s="6" t="s">
        <v>485</v>
      </c>
      <c r="E95" s="6" t="s">
        <v>486</v>
      </c>
      <c r="F95" s="6" t="s">
        <v>487</v>
      </c>
      <c r="G95" s="6" t="s">
        <v>488</v>
      </c>
      <c r="H95" s="6" t="s">
        <v>489</v>
      </c>
      <c r="I95" s="6" t="s">
        <v>490</v>
      </c>
      <c r="J95" s="6" t="s">
        <v>491</v>
      </c>
      <c r="K95" s="8" t="s">
        <v>56</v>
      </c>
      <c r="L95" s="6" t="s">
        <v>492</v>
      </c>
    </row>
    <row r="96" customFormat="false" ht="15" hidden="false" customHeight="false" outlineLevel="0" collapsed="false">
      <c r="A96" s="6" t="s">
        <v>482</v>
      </c>
      <c r="B96" s="6" t="s">
        <v>493</v>
      </c>
      <c r="C96" s="6" t="s">
        <v>494</v>
      </c>
      <c r="D96" s="6" t="s">
        <v>495</v>
      </c>
      <c r="E96" s="6" t="s">
        <v>496</v>
      </c>
      <c r="F96" s="6" t="s">
        <v>497</v>
      </c>
      <c r="G96" s="6" t="s">
        <v>52</v>
      </c>
      <c r="H96" s="6" t="s">
        <v>53</v>
      </c>
      <c r="I96" s="6" t="s">
        <v>498</v>
      </c>
      <c r="J96" s="6" t="s">
        <v>499</v>
      </c>
      <c r="K96" s="8" t="s">
        <v>56</v>
      </c>
      <c r="L96" s="6"/>
    </row>
    <row r="97" customFormat="false" ht="15" hidden="false" customHeight="false" outlineLevel="0" collapsed="false">
      <c r="A97" s="6" t="s">
        <v>482</v>
      </c>
      <c r="B97" s="6" t="s">
        <v>493</v>
      </c>
      <c r="C97" s="6" t="s">
        <v>494</v>
      </c>
      <c r="D97" s="6" t="s">
        <v>495</v>
      </c>
      <c r="E97" s="6" t="s">
        <v>496</v>
      </c>
      <c r="F97" s="6" t="s">
        <v>500</v>
      </c>
      <c r="G97" s="6" t="s">
        <v>45</v>
      </c>
      <c r="H97" s="6" t="s">
        <v>46</v>
      </c>
      <c r="I97" s="6" t="s">
        <v>88</v>
      </c>
      <c r="J97" s="6" t="s">
        <v>65</v>
      </c>
      <c r="K97" s="7" t="s">
        <v>49</v>
      </c>
      <c r="L97" s="6"/>
    </row>
    <row r="98" customFormat="false" ht="15" hidden="false" customHeight="false" outlineLevel="0" collapsed="false">
      <c r="A98" s="6" t="s">
        <v>482</v>
      </c>
      <c r="B98" s="6" t="s">
        <v>501</v>
      </c>
      <c r="C98" s="6" t="s">
        <v>502</v>
      </c>
      <c r="D98" s="6" t="s">
        <v>503</v>
      </c>
      <c r="E98" s="6" t="s">
        <v>504</v>
      </c>
      <c r="F98" s="6" t="s">
        <v>505</v>
      </c>
      <c r="G98" s="6" t="s">
        <v>52</v>
      </c>
      <c r="H98" s="6" t="s">
        <v>53</v>
      </c>
      <c r="I98" s="6" t="s">
        <v>498</v>
      </c>
      <c r="J98" s="6" t="s">
        <v>499</v>
      </c>
      <c r="K98" s="8" t="s">
        <v>56</v>
      </c>
      <c r="L98" s="6" t="s">
        <v>506</v>
      </c>
    </row>
    <row r="99" customFormat="false" ht="15" hidden="false" customHeight="false" outlineLevel="0" collapsed="false">
      <c r="A99" s="6" t="s">
        <v>482</v>
      </c>
      <c r="B99" s="6" t="s">
        <v>501</v>
      </c>
      <c r="C99" s="6" t="s">
        <v>502</v>
      </c>
      <c r="D99" s="6" t="s">
        <v>503</v>
      </c>
      <c r="E99" s="6" t="s">
        <v>504</v>
      </c>
      <c r="F99" s="6" t="s">
        <v>507</v>
      </c>
      <c r="G99" s="6" t="s">
        <v>45</v>
      </c>
      <c r="H99" s="6" t="s">
        <v>46</v>
      </c>
      <c r="I99" s="6" t="s">
        <v>88</v>
      </c>
      <c r="J99" s="6" t="s">
        <v>65</v>
      </c>
      <c r="K99" s="7" t="s">
        <v>49</v>
      </c>
      <c r="L99" s="6"/>
    </row>
    <row r="100" customFormat="false" ht="15" hidden="false" customHeight="false" outlineLevel="0" collapsed="false">
      <c r="A100" s="6" t="s">
        <v>482</v>
      </c>
      <c r="B100" s="6" t="s">
        <v>508</v>
      </c>
      <c r="C100" s="6" t="s">
        <v>509</v>
      </c>
      <c r="D100" s="6" t="s">
        <v>510</v>
      </c>
      <c r="E100" s="6" t="s">
        <v>511</v>
      </c>
      <c r="F100" s="6" t="s">
        <v>512</v>
      </c>
      <c r="G100" s="6" t="s">
        <v>52</v>
      </c>
      <c r="H100" s="6" t="s">
        <v>53</v>
      </c>
      <c r="I100" s="6" t="s">
        <v>498</v>
      </c>
      <c r="J100" s="6" t="s">
        <v>499</v>
      </c>
      <c r="K100" s="8" t="s">
        <v>56</v>
      </c>
      <c r="L100" s="6"/>
    </row>
    <row r="101" customFormat="false" ht="15" hidden="false" customHeight="false" outlineLevel="0" collapsed="false">
      <c r="A101" s="6" t="s">
        <v>482</v>
      </c>
      <c r="B101" s="6" t="s">
        <v>508</v>
      </c>
      <c r="C101" s="6" t="s">
        <v>509</v>
      </c>
      <c r="D101" s="6" t="s">
        <v>510</v>
      </c>
      <c r="E101" s="6" t="s">
        <v>511</v>
      </c>
      <c r="F101" s="6" t="s">
        <v>513</v>
      </c>
      <c r="G101" s="6" t="s">
        <v>45</v>
      </c>
      <c r="H101" s="6" t="s">
        <v>46</v>
      </c>
      <c r="I101" s="6" t="s">
        <v>88</v>
      </c>
      <c r="J101" s="6" t="s">
        <v>65</v>
      </c>
      <c r="K101" s="7" t="s">
        <v>49</v>
      </c>
      <c r="L101" s="6"/>
    </row>
    <row r="102" customFormat="false" ht="15" hidden="false" customHeight="false" outlineLevel="0" collapsed="false">
      <c r="A102" s="6" t="s">
        <v>482</v>
      </c>
      <c r="B102" s="6" t="s">
        <v>514</v>
      </c>
      <c r="C102" s="6" t="s">
        <v>515</v>
      </c>
      <c r="D102" s="6" t="s">
        <v>516</v>
      </c>
      <c r="E102" s="6" t="s">
        <v>517</v>
      </c>
      <c r="F102" s="6" t="s">
        <v>518</v>
      </c>
      <c r="G102" s="6" t="s">
        <v>52</v>
      </c>
      <c r="H102" s="6" t="s">
        <v>53</v>
      </c>
      <c r="I102" s="6" t="s">
        <v>498</v>
      </c>
      <c r="J102" s="6" t="s">
        <v>397</v>
      </c>
      <c r="K102" s="8" t="s">
        <v>56</v>
      </c>
      <c r="L102" s="6"/>
    </row>
    <row r="103" customFormat="false" ht="15" hidden="false" customHeight="false" outlineLevel="0" collapsed="false">
      <c r="A103" s="6" t="s">
        <v>482</v>
      </c>
      <c r="B103" s="6" t="s">
        <v>519</v>
      </c>
      <c r="C103" s="6" t="s">
        <v>520</v>
      </c>
      <c r="D103" s="6" t="s">
        <v>521</v>
      </c>
      <c r="E103" s="6" t="s">
        <v>522</v>
      </c>
      <c r="F103" s="6" t="s">
        <v>523</v>
      </c>
      <c r="G103" s="6" t="s">
        <v>45</v>
      </c>
      <c r="H103" s="6" t="s">
        <v>46</v>
      </c>
      <c r="I103" s="6" t="s">
        <v>88</v>
      </c>
      <c r="J103" s="6" t="s">
        <v>65</v>
      </c>
      <c r="K103" s="7" t="s">
        <v>49</v>
      </c>
      <c r="L103" s="6" t="s">
        <v>524</v>
      </c>
    </row>
    <row r="104" customFormat="false" ht="23.85" hidden="false" customHeight="false" outlineLevel="0" collapsed="false">
      <c r="A104" s="6" t="s">
        <v>482</v>
      </c>
      <c r="B104" s="6" t="s">
        <v>525</v>
      </c>
      <c r="C104" s="6" t="s">
        <v>526</v>
      </c>
      <c r="D104" s="6" t="s">
        <v>527</v>
      </c>
      <c r="E104" s="6" t="s">
        <v>528</v>
      </c>
      <c r="F104" s="6" t="s">
        <v>529</v>
      </c>
      <c r="G104" s="6" t="s">
        <v>45</v>
      </c>
      <c r="H104" s="6" t="s">
        <v>46</v>
      </c>
      <c r="I104" s="6" t="s">
        <v>88</v>
      </c>
      <c r="J104" s="6" t="s">
        <v>65</v>
      </c>
      <c r="K104" s="7" t="s">
        <v>49</v>
      </c>
      <c r="L104" s="6"/>
    </row>
    <row r="105" customFormat="false" ht="15" hidden="false" customHeight="false" outlineLevel="0" collapsed="false">
      <c r="A105" s="6" t="s">
        <v>482</v>
      </c>
      <c r="B105" s="6" t="s">
        <v>530</v>
      </c>
      <c r="C105" s="6" t="s">
        <v>531</v>
      </c>
      <c r="D105" s="6" t="s">
        <v>532</v>
      </c>
      <c r="E105" s="6" t="s">
        <v>533</v>
      </c>
      <c r="F105" s="6" t="s">
        <v>534</v>
      </c>
      <c r="G105" s="6" t="s">
        <v>535</v>
      </c>
      <c r="H105" s="6" t="s">
        <v>46</v>
      </c>
      <c r="I105" s="6" t="s">
        <v>88</v>
      </c>
      <c r="J105" s="6" t="s">
        <v>410</v>
      </c>
      <c r="K105" s="7" t="s">
        <v>49</v>
      </c>
      <c r="L105" s="6" t="s">
        <v>536</v>
      </c>
    </row>
    <row r="106" customFormat="false" ht="15" hidden="false" customHeight="false" outlineLevel="0" collapsed="false">
      <c r="A106" s="6" t="s">
        <v>482</v>
      </c>
      <c r="B106" s="6" t="s">
        <v>537</v>
      </c>
      <c r="C106" s="6" t="s">
        <v>538</v>
      </c>
      <c r="D106" s="6" t="s">
        <v>539</v>
      </c>
      <c r="E106" s="6" t="s">
        <v>540</v>
      </c>
      <c r="F106" s="6" t="s">
        <v>541</v>
      </c>
      <c r="G106" s="6" t="s">
        <v>45</v>
      </c>
      <c r="H106" s="6" t="s">
        <v>46</v>
      </c>
      <c r="I106" s="6" t="s">
        <v>88</v>
      </c>
      <c r="J106" s="6" t="s">
        <v>410</v>
      </c>
      <c r="K106" s="7" t="s">
        <v>49</v>
      </c>
      <c r="L106" s="6"/>
    </row>
    <row r="107" customFormat="false" ht="46.25" hidden="false" customHeight="false" outlineLevel="0" collapsed="false">
      <c r="A107" s="6" t="s">
        <v>542</v>
      </c>
      <c r="B107" s="6" t="s">
        <v>543</v>
      </c>
      <c r="C107" s="6" t="s">
        <v>544</v>
      </c>
      <c r="D107" s="6" t="s">
        <v>545</v>
      </c>
      <c r="E107" s="6" t="s">
        <v>546</v>
      </c>
      <c r="F107" s="6" t="s">
        <v>547</v>
      </c>
      <c r="G107" s="6" t="s">
        <v>548</v>
      </c>
      <c r="H107" s="6" t="s">
        <v>489</v>
      </c>
      <c r="I107" s="6" t="s">
        <v>549</v>
      </c>
      <c r="J107" s="6" t="s">
        <v>550</v>
      </c>
      <c r="K107" s="7" t="s">
        <v>49</v>
      </c>
      <c r="L107" s="6" t="s">
        <v>551</v>
      </c>
    </row>
    <row r="108" customFormat="false" ht="35.05" hidden="false" customHeight="false" outlineLevel="0" collapsed="false">
      <c r="A108" s="6" t="s">
        <v>542</v>
      </c>
      <c r="B108" s="6" t="s">
        <v>543</v>
      </c>
      <c r="C108" s="6" t="s">
        <v>552</v>
      </c>
      <c r="D108" s="6" t="s">
        <v>545</v>
      </c>
      <c r="E108" s="6" t="s">
        <v>546</v>
      </c>
      <c r="F108" s="6" t="s">
        <v>553</v>
      </c>
      <c r="G108" s="6" t="s">
        <v>548</v>
      </c>
      <c r="H108" s="6" t="s">
        <v>489</v>
      </c>
      <c r="I108" s="6" t="s">
        <v>554</v>
      </c>
      <c r="J108" s="6" t="s">
        <v>65</v>
      </c>
      <c r="K108" s="8" t="s">
        <v>56</v>
      </c>
      <c r="L108" s="6" t="s">
        <v>555</v>
      </c>
    </row>
    <row r="109" customFormat="false" ht="15" hidden="false" customHeight="false" outlineLevel="0" collapsed="false">
      <c r="A109" s="6" t="s">
        <v>542</v>
      </c>
      <c r="B109" s="6" t="s">
        <v>556</v>
      </c>
      <c r="C109" s="6" t="s">
        <v>557</v>
      </c>
      <c r="D109" s="6" t="s">
        <v>558</v>
      </c>
      <c r="E109" s="6" t="s">
        <v>559</v>
      </c>
      <c r="F109" s="6" t="s">
        <v>560</v>
      </c>
      <c r="G109" s="6" t="s">
        <v>52</v>
      </c>
      <c r="H109" s="6" t="s">
        <v>53</v>
      </c>
      <c r="I109" s="6" t="s">
        <v>561</v>
      </c>
      <c r="J109" s="6" t="s">
        <v>205</v>
      </c>
      <c r="K109" s="7" t="s">
        <v>49</v>
      </c>
      <c r="L109" s="6"/>
    </row>
    <row r="110" customFormat="false" ht="15" hidden="false" customHeight="false" outlineLevel="0" collapsed="false">
      <c r="A110" s="6" t="s">
        <v>542</v>
      </c>
      <c r="B110" s="6" t="s">
        <v>556</v>
      </c>
      <c r="C110" s="6" t="s">
        <v>557</v>
      </c>
      <c r="D110" s="6" t="s">
        <v>558</v>
      </c>
      <c r="E110" s="6" t="s">
        <v>559</v>
      </c>
      <c r="F110" s="6" t="s">
        <v>562</v>
      </c>
      <c r="G110" s="6" t="s">
        <v>52</v>
      </c>
      <c r="H110" s="6" t="s">
        <v>53</v>
      </c>
      <c r="I110" s="6" t="s">
        <v>563</v>
      </c>
      <c r="J110" s="6" t="s">
        <v>205</v>
      </c>
      <c r="K110" s="8" t="s">
        <v>56</v>
      </c>
      <c r="L110" s="6"/>
    </row>
    <row r="111" customFormat="false" ht="15" hidden="false" customHeight="false" outlineLevel="0" collapsed="false">
      <c r="A111" s="6" t="s">
        <v>542</v>
      </c>
      <c r="B111" s="6" t="s">
        <v>564</v>
      </c>
      <c r="C111" s="6" t="s">
        <v>565</v>
      </c>
      <c r="D111" s="6" t="s">
        <v>566</v>
      </c>
      <c r="E111" s="6" t="s">
        <v>567</v>
      </c>
      <c r="F111" s="6" t="s">
        <v>568</v>
      </c>
      <c r="G111" s="6" t="s">
        <v>52</v>
      </c>
      <c r="H111" s="6" t="s">
        <v>53</v>
      </c>
      <c r="I111" s="6" t="s">
        <v>569</v>
      </c>
      <c r="J111" s="6" t="s">
        <v>65</v>
      </c>
      <c r="K111" s="8" t="s">
        <v>56</v>
      </c>
      <c r="L111" s="6" t="s">
        <v>570</v>
      </c>
    </row>
    <row r="112" customFormat="false" ht="15" hidden="false" customHeight="false" outlineLevel="0" collapsed="false">
      <c r="A112" s="6" t="s">
        <v>542</v>
      </c>
      <c r="B112" s="6" t="s">
        <v>571</v>
      </c>
      <c r="C112" s="6" t="s">
        <v>572</v>
      </c>
      <c r="D112" s="6" t="s">
        <v>573</v>
      </c>
      <c r="E112" s="6" t="s">
        <v>574</v>
      </c>
      <c r="F112" s="6" t="s">
        <v>568</v>
      </c>
      <c r="G112" s="6" t="s">
        <v>52</v>
      </c>
      <c r="H112" s="6" t="s">
        <v>53</v>
      </c>
      <c r="I112" s="6" t="s">
        <v>569</v>
      </c>
      <c r="J112" s="6" t="s">
        <v>65</v>
      </c>
      <c r="K112" s="8" t="s">
        <v>56</v>
      </c>
      <c r="L112" s="6"/>
    </row>
    <row r="113" customFormat="false" ht="23.85" hidden="false" customHeight="false" outlineLevel="0" collapsed="false">
      <c r="A113" s="6" t="s">
        <v>542</v>
      </c>
      <c r="B113" s="6" t="s">
        <v>575</v>
      </c>
      <c r="C113" s="6" t="s">
        <v>576</v>
      </c>
      <c r="D113" s="6" t="s">
        <v>577</v>
      </c>
      <c r="E113" s="6" t="s">
        <v>578</v>
      </c>
      <c r="F113" s="6" t="s">
        <v>568</v>
      </c>
      <c r="G113" s="6" t="s">
        <v>52</v>
      </c>
      <c r="H113" s="6" t="s">
        <v>142</v>
      </c>
      <c r="I113" s="6" t="s">
        <v>569</v>
      </c>
      <c r="J113" s="6" t="s">
        <v>65</v>
      </c>
      <c r="K113" s="8" t="s">
        <v>56</v>
      </c>
      <c r="L113" s="6" t="s">
        <v>579</v>
      </c>
    </row>
    <row r="114" customFormat="false" ht="15" hidden="false" customHeight="false" outlineLevel="0" collapsed="false">
      <c r="A114" s="6" t="s">
        <v>542</v>
      </c>
      <c r="B114" s="6" t="s">
        <v>580</v>
      </c>
      <c r="C114" s="6" t="s">
        <v>581</v>
      </c>
      <c r="D114" s="6" t="s">
        <v>582</v>
      </c>
      <c r="E114" s="6" t="s">
        <v>583</v>
      </c>
      <c r="F114" s="6" t="s">
        <v>568</v>
      </c>
      <c r="G114" s="6" t="s">
        <v>52</v>
      </c>
      <c r="H114" s="6" t="s">
        <v>56</v>
      </c>
      <c r="I114" s="6" t="s">
        <v>569</v>
      </c>
      <c r="J114" s="6" t="s">
        <v>65</v>
      </c>
      <c r="K114" s="8" t="s">
        <v>56</v>
      </c>
      <c r="L114" s="6"/>
    </row>
    <row r="115" customFormat="false" ht="15" hidden="false" customHeight="false" outlineLevel="0" collapsed="false">
      <c r="A115" s="6" t="s">
        <v>542</v>
      </c>
      <c r="B115" s="6" t="s">
        <v>584</v>
      </c>
      <c r="C115" s="6" t="s">
        <v>585</v>
      </c>
      <c r="D115" s="6" t="s">
        <v>586</v>
      </c>
      <c r="E115" s="6" t="s">
        <v>587</v>
      </c>
      <c r="F115" s="6" t="s">
        <v>568</v>
      </c>
      <c r="G115" s="6" t="s">
        <v>52</v>
      </c>
      <c r="H115" s="6" t="s">
        <v>53</v>
      </c>
      <c r="I115" s="6" t="s">
        <v>569</v>
      </c>
      <c r="J115" s="6" t="s">
        <v>65</v>
      </c>
      <c r="K115" s="8" t="s">
        <v>56</v>
      </c>
      <c r="L115" s="6"/>
    </row>
    <row r="116" customFormat="false" ht="15" hidden="false" customHeight="false" outlineLevel="0" collapsed="false">
      <c r="A116" s="6" t="s">
        <v>542</v>
      </c>
      <c r="B116" s="6" t="s">
        <v>588</v>
      </c>
      <c r="C116" s="6" t="s">
        <v>589</v>
      </c>
      <c r="D116" s="6" t="s">
        <v>590</v>
      </c>
      <c r="E116" s="6" t="s">
        <v>591</v>
      </c>
      <c r="F116" s="6" t="s">
        <v>568</v>
      </c>
      <c r="G116" s="6" t="s">
        <v>52</v>
      </c>
      <c r="H116" s="6" t="s">
        <v>53</v>
      </c>
      <c r="I116" s="6" t="s">
        <v>569</v>
      </c>
      <c r="J116" s="6" t="s">
        <v>65</v>
      </c>
      <c r="K116" s="8" t="s">
        <v>56</v>
      </c>
      <c r="L116" s="6"/>
    </row>
    <row r="117" customFormat="false" ht="15" hidden="false" customHeight="false" outlineLevel="0" collapsed="false">
      <c r="A117" s="6" t="s">
        <v>542</v>
      </c>
      <c r="B117" s="6" t="s">
        <v>592</v>
      </c>
      <c r="C117" s="6" t="s">
        <v>593</v>
      </c>
      <c r="D117" s="6" t="s">
        <v>594</v>
      </c>
      <c r="E117" s="6" t="s">
        <v>595</v>
      </c>
      <c r="F117" s="6" t="s">
        <v>568</v>
      </c>
      <c r="G117" s="6" t="s">
        <v>52</v>
      </c>
      <c r="H117" s="6" t="s">
        <v>53</v>
      </c>
      <c r="I117" s="6" t="s">
        <v>569</v>
      </c>
      <c r="J117" s="6" t="s">
        <v>65</v>
      </c>
      <c r="K117" s="8" t="s">
        <v>56</v>
      </c>
      <c r="L117" s="6"/>
    </row>
    <row r="118" customFormat="false" ht="15" hidden="false" customHeight="false" outlineLevel="0" collapsed="false">
      <c r="A118" s="6" t="s">
        <v>542</v>
      </c>
      <c r="B118" s="6" t="s">
        <v>596</v>
      </c>
      <c r="C118" s="6" t="s">
        <v>597</v>
      </c>
      <c r="D118" s="6" t="s">
        <v>598</v>
      </c>
      <c r="E118" s="6" t="s">
        <v>599</v>
      </c>
      <c r="F118" s="6" t="s">
        <v>568</v>
      </c>
      <c r="G118" s="6" t="s">
        <v>52</v>
      </c>
      <c r="H118" s="6" t="s">
        <v>53</v>
      </c>
      <c r="I118" s="6" t="s">
        <v>569</v>
      </c>
      <c r="J118" s="6" t="s">
        <v>65</v>
      </c>
      <c r="K118" s="8" t="s">
        <v>56</v>
      </c>
      <c r="L118" s="6"/>
    </row>
    <row r="119" customFormat="false" ht="15" hidden="false" customHeight="false" outlineLevel="0" collapsed="false">
      <c r="A119" s="6" t="s">
        <v>542</v>
      </c>
      <c r="B119" s="6" t="s">
        <v>600</v>
      </c>
      <c r="C119" s="6" t="s">
        <v>601</v>
      </c>
      <c r="D119" s="6" t="s">
        <v>602</v>
      </c>
      <c r="E119" s="6" t="s">
        <v>603</v>
      </c>
      <c r="F119" s="6" t="s">
        <v>604</v>
      </c>
      <c r="G119" s="6" t="s">
        <v>52</v>
      </c>
      <c r="H119" s="6" t="s">
        <v>46</v>
      </c>
      <c r="I119" s="6" t="s">
        <v>605</v>
      </c>
      <c r="J119" s="6" t="s">
        <v>65</v>
      </c>
      <c r="K119" s="7" t="s">
        <v>49</v>
      </c>
      <c r="L119" s="6"/>
    </row>
    <row r="120" customFormat="false" ht="23.85" hidden="false" customHeight="false" outlineLevel="0" collapsed="false">
      <c r="A120" s="6" t="s">
        <v>606</v>
      </c>
      <c r="B120" s="6" t="s">
        <v>607</v>
      </c>
      <c r="C120" s="6" t="s">
        <v>608</v>
      </c>
      <c r="D120" s="6" t="s">
        <v>609</v>
      </c>
      <c r="E120" s="6" t="s">
        <v>610</v>
      </c>
      <c r="F120" s="6" t="s">
        <v>611</v>
      </c>
      <c r="G120" s="6" t="s">
        <v>52</v>
      </c>
      <c r="H120" s="6" t="s">
        <v>53</v>
      </c>
      <c r="I120" s="6" t="s">
        <v>612</v>
      </c>
      <c r="J120" s="6" t="s">
        <v>218</v>
      </c>
      <c r="K120" s="8" t="s">
        <v>56</v>
      </c>
      <c r="L120" s="6" t="s">
        <v>613</v>
      </c>
    </row>
    <row r="121" customFormat="false" ht="23.85" hidden="false" customHeight="false" outlineLevel="0" collapsed="false">
      <c r="A121" s="6" t="s">
        <v>606</v>
      </c>
      <c r="B121" s="6" t="s">
        <v>607</v>
      </c>
      <c r="C121" s="6" t="s">
        <v>608</v>
      </c>
      <c r="D121" s="6" t="s">
        <v>609</v>
      </c>
      <c r="E121" s="6" t="s">
        <v>610</v>
      </c>
      <c r="F121" s="6" t="s">
        <v>614</v>
      </c>
      <c r="G121" s="6" t="s">
        <v>45</v>
      </c>
      <c r="H121" s="6" t="s">
        <v>46</v>
      </c>
      <c r="I121" s="6" t="s">
        <v>71</v>
      </c>
      <c r="J121" s="6" t="s">
        <v>65</v>
      </c>
      <c r="K121" s="7" t="s">
        <v>49</v>
      </c>
      <c r="L121" s="6" t="s">
        <v>615</v>
      </c>
    </row>
    <row r="122" customFormat="false" ht="15" hidden="false" customHeight="false" outlineLevel="0" collapsed="false">
      <c r="A122" s="6" t="s">
        <v>606</v>
      </c>
      <c r="B122" s="6" t="s">
        <v>616</v>
      </c>
      <c r="C122" s="6" t="s">
        <v>617</v>
      </c>
      <c r="D122" s="6" t="s">
        <v>618</v>
      </c>
      <c r="E122" s="6" t="s">
        <v>619</v>
      </c>
      <c r="F122" s="6" t="s">
        <v>620</v>
      </c>
      <c r="G122" s="6" t="s">
        <v>52</v>
      </c>
      <c r="H122" s="6" t="s">
        <v>53</v>
      </c>
      <c r="I122" s="6" t="s">
        <v>621</v>
      </c>
      <c r="J122" s="6" t="s">
        <v>65</v>
      </c>
      <c r="K122" s="8" t="s">
        <v>56</v>
      </c>
      <c r="L122" s="6"/>
    </row>
    <row r="123" customFormat="false" ht="23.85" hidden="false" customHeight="false" outlineLevel="0" collapsed="false">
      <c r="A123" s="6" t="s">
        <v>606</v>
      </c>
      <c r="B123" s="6" t="s">
        <v>622</v>
      </c>
      <c r="C123" s="6" t="s">
        <v>623</v>
      </c>
      <c r="D123" s="6" t="s">
        <v>624</v>
      </c>
      <c r="E123" s="6" t="s">
        <v>625</v>
      </c>
      <c r="F123" s="6" t="s">
        <v>611</v>
      </c>
      <c r="G123" s="6" t="s">
        <v>52</v>
      </c>
      <c r="H123" s="6" t="s">
        <v>53</v>
      </c>
      <c r="I123" s="6" t="s">
        <v>621</v>
      </c>
      <c r="J123" s="6" t="s">
        <v>626</v>
      </c>
      <c r="K123" s="8" t="s">
        <v>56</v>
      </c>
      <c r="L123" s="6"/>
    </row>
    <row r="124" customFormat="false" ht="23.85" hidden="false" customHeight="false" outlineLevel="0" collapsed="false">
      <c r="A124" s="6" t="s">
        <v>606</v>
      </c>
      <c r="B124" s="6" t="s">
        <v>627</v>
      </c>
      <c r="C124" s="6" t="s">
        <v>628</v>
      </c>
      <c r="D124" s="6" t="s">
        <v>629</v>
      </c>
      <c r="E124" s="6" t="s">
        <v>630</v>
      </c>
      <c r="F124" s="6" t="s">
        <v>631</v>
      </c>
      <c r="G124" s="6" t="s">
        <v>45</v>
      </c>
      <c r="H124" s="6" t="s">
        <v>46</v>
      </c>
      <c r="I124" s="6" t="s">
        <v>71</v>
      </c>
      <c r="J124" s="6" t="s">
        <v>65</v>
      </c>
      <c r="K124" s="8" t="s">
        <v>56</v>
      </c>
      <c r="L124" s="6" t="s">
        <v>632</v>
      </c>
    </row>
    <row r="125" customFormat="false" ht="23.85" hidden="false" customHeight="false" outlineLevel="0" collapsed="false">
      <c r="A125" s="6" t="s">
        <v>606</v>
      </c>
      <c r="B125" s="6" t="s">
        <v>633</v>
      </c>
      <c r="C125" s="6" t="s">
        <v>634</v>
      </c>
      <c r="D125" s="6" t="s">
        <v>635</v>
      </c>
      <c r="E125" s="6" t="s">
        <v>635</v>
      </c>
      <c r="F125" s="6" t="s">
        <v>636</v>
      </c>
      <c r="G125" s="6" t="s">
        <v>224</v>
      </c>
      <c r="H125" s="6" t="s">
        <v>46</v>
      </c>
      <c r="I125" s="6" t="s">
        <v>71</v>
      </c>
      <c r="J125" s="6" t="s">
        <v>65</v>
      </c>
      <c r="K125" s="8" t="s">
        <v>56</v>
      </c>
      <c r="L125" s="6" t="s">
        <v>637</v>
      </c>
    </row>
    <row r="126" customFormat="false" ht="46.25" hidden="false" customHeight="false" outlineLevel="0" collapsed="false">
      <c r="A126" s="6" t="s">
        <v>638</v>
      </c>
      <c r="B126" s="6" t="s">
        <v>639</v>
      </c>
      <c r="C126" s="6" t="s">
        <v>640</v>
      </c>
      <c r="D126" s="6" t="s">
        <v>641</v>
      </c>
      <c r="E126" s="6" t="s">
        <v>642</v>
      </c>
      <c r="F126" s="6" t="s">
        <v>643</v>
      </c>
      <c r="G126" s="6" t="s">
        <v>644</v>
      </c>
      <c r="H126" s="6" t="s">
        <v>53</v>
      </c>
      <c r="I126" s="6" t="s">
        <v>645</v>
      </c>
      <c r="J126" s="6" t="s">
        <v>646</v>
      </c>
      <c r="K126" s="7" t="s">
        <v>49</v>
      </c>
      <c r="L126" s="6" t="s">
        <v>647</v>
      </c>
    </row>
    <row r="127" customFormat="false" ht="23.85" hidden="false" customHeight="false" outlineLevel="0" collapsed="false">
      <c r="A127" s="6" t="s">
        <v>638</v>
      </c>
      <c r="B127" s="6" t="s">
        <v>639</v>
      </c>
      <c r="C127" s="6" t="s">
        <v>640</v>
      </c>
      <c r="D127" s="6" t="s">
        <v>641</v>
      </c>
      <c r="E127" s="6" t="s">
        <v>642</v>
      </c>
      <c r="F127" s="6" t="s">
        <v>648</v>
      </c>
      <c r="G127" s="6" t="s">
        <v>52</v>
      </c>
      <c r="H127" s="6" t="s">
        <v>53</v>
      </c>
      <c r="I127" s="6" t="s">
        <v>649</v>
      </c>
      <c r="J127" s="6" t="s">
        <v>650</v>
      </c>
      <c r="K127" s="8" t="s">
        <v>56</v>
      </c>
      <c r="L127" s="6" t="s">
        <v>651</v>
      </c>
    </row>
    <row r="128" customFormat="false" ht="23.85" hidden="false" customHeight="false" outlineLevel="0" collapsed="false">
      <c r="A128" s="6" t="s">
        <v>652</v>
      </c>
      <c r="B128" s="6" t="s">
        <v>653</v>
      </c>
      <c r="C128" s="6" t="s">
        <v>654</v>
      </c>
      <c r="D128" s="6" t="s">
        <v>655</v>
      </c>
      <c r="E128" s="6" t="s">
        <v>656</v>
      </c>
      <c r="F128" s="6" t="s">
        <v>657</v>
      </c>
      <c r="G128" s="6" t="s">
        <v>52</v>
      </c>
      <c r="H128" s="6" t="s">
        <v>53</v>
      </c>
      <c r="I128" s="6" t="s">
        <v>658</v>
      </c>
      <c r="J128" s="6" t="s">
        <v>205</v>
      </c>
      <c r="K128" s="7" t="s">
        <v>49</v>
      </c>
      <c r="L128" s="6" t="s">
        <v>659</v>
      </c>
    </row>
    <row r="129" customFormat="false" ht="15" hidden="false" customHeight="false" outlineLevel="0" collapsed="false">
      <c r="A129" s="6" t="s">
        <v>652</v>
      </c>
      <c r="B129" s="6" t="s">
        <v>653</v>
      </c>
      <c r="C129" s="6" t="s">
        <v>654</v>
      </c>
      <c r="D129" s="6" t="s">
        <v>655</v>
      </c>
      <c r="E129" s="6" t="s">
        <v>656</v>
      </c>
      <c r="F129" s="6" t="s">
        <v>660</v>
      </c>
      <c r="G129" s="6" t="s">
        <v>52</v>
      </c>
      <c r="H129" s="6" t="s">
        <v>53</v>
      </c>
      <c r="I129" s="6" t="s">
        <v>661</v>
      </c>
      <c r="J129" s="6" t="s">
        <v>205</v>
      </c>
      <c r="K129" s="8" t="s">
        <v>56</v>
      </c>
      <c r="L129" s="6"/>
    </row>
    <row r="130" customFormat="false" ht="15" hidden="false" customHeight="false" outlineLevel="0" collapsed="false">
      <c r="A130" s="6" t="s">
        <v>652</v>
      </c>
      <c r="B130" s="6" t="s">
        <v>662</v>
      </c>
      <c r="C130" s="6" t="s">
        <v>663</v>
      </c>
      <c r="D130" s="6" t="s">
        <v>664</v>
      </c>
      <c r="E130" s="6" t="s">
        <v>665</v>
      </c>
      <c r="F130" s="6" t="s">
        <v>657</v>
      </c>
      <c r="G130" s="6" t="s">
        <v>52</v>
      </c>
      <c r="H130" s="6" t="s">
        <v>53</v>
      </c>
      <c r="I130" s="6" t="s">
        <v>658</v>
      </c>
      <c r="J130" s="6" t="s">
        <v>205</v>
      </c>
      <c r="K130" s="7" t="s">
        <v>49</v>
      </c>
      <c r="L130" s="6"/>
    </row>
    <row r="131" customFormat="false" ht="15" hidden="false" customHeight="false" outlineLevel="0" collapsed="false">
      <c r="A131" s="6" t="s">
        <v>652</v>
      </c>
      <c r="B131" s="6" t="s">
        <v>666</v>
      </c>
      <c r="C131" s="6" t="s">
        <v>667</v>
      </c>
      <c r="D131" s="6" t="s">
        <v>668</v>
      </c>
      <c r="E131" s="6" t="s">
        <v>669</v>
      </c>
      <c r="F131" s="6" t="s">
        <v>657</v>
      </c>
      <c r="G131" s="6" t="s">
        <v>52</v>
      </c>
      <c r="H131" s="6" t="s">
        <v>53</v>
      </c>
      <c r="I131" s="6" t="s">
        <v>658</v>
      </c>
      <c r="J131" s="6" t="s">
        <v>670</v>
      </c>
      <c r="K131" s="7" t="s">
        <v>49</v>
      </c>
      <c r="L131" s="6"/>
    </row>
    <row r="132" customFormat="false" ht="15" hidden="false" customHeight="false" outlineLevel="0" collapsed="false">
      <c r="A132" s="6" t="s">
        <v>671</v>
      </c>
      <c r="B132" s="6" t="s">
        <v>672</v>
      </c>
      <c r="C132" s="6" t="s">
        <v>673</v>
      </c>
      <c r="D132" s="6" t="s">
        <v>674</v>
      </c>
      <c r="E132" s="6" t="s">
        <v>675</v>
      </c>
      <c r="F132" s="6" t="s">
        <v>676</v>
      </c>
      <c r="G132" s="6" t="s">
        <v>52</v>
      </c>
      <c r="H132" s="6" t="s">
        <v>53</v>
      </c>
      <c r="I132" s="6" t="s">
        <v>661</v>
      </c>
      <c r="J132" s="6" t="s">
        <v>205</v>
      </c>
      <c r="K132" s="8" t="s">
        <v>56</v>
      </c>
      <c r="L132" s="6" t="s">
        <v>677</v>
      </c>
    </row>
    <row r="133" customFormat="false" ht="35.05" hidden="false" customHeight="false" outlineLevel="0" collapsed="false">
      <c r="A133" s="6" t="s">
        <v>671</v>
      </c>
      <c r="B133" s="6" t="s">
        <v>678</v>
      </c>
      <c r="C133" s="6" t="s">
        <v>679</v>
      </c>
      <c r="D133" s="6" t="s">
        <v>680</v>
      </c>
      <c r="E133" s="6" t="s">
        <v>681</v>
      </c>
      <c r="F133" s="6" t="s">
        <v>682</v>
      </c>
      <c r="G133" s="6" t="s">
        <v>52</v>
      </c>
      <c r="H133" s="6" t="s">
        <v>53</v>
      </c>
      <c r="I133" s="6" t="s">
        <v>658</v>
      </c>
      <c r="J133" s="6" t="s">
        <v>205</v>
      </c>
      <c r="K133" s="7" t="s">
        <v>49</v>
      </c>
      <c r="L133" s="6" t="s">
        <v>683</v>
      </c>
    </row>
    <row r="134" customFormat="false" ht="23.85" hidden="false" customHeight="false" outlineLevel="0" collapsed="false">
      <c r="A134" s="6" t="s">
        <v>671</v>
      </c>
      <c r="B134" s="6" t="s">
        <v>684</v>
      </c>
      <c r="C134" s="6" t="s">
        <v>685</v>
      </c>
      <c r="D134" s="6" t="s">
        <v>686</v>
      </c>
      <c r="E134" s="6" t="s">
        <v>687</v>
      </c>
      <c r="F134" s="6" t="s">
        <v>682</v>
      </c>
      <c r="G134" s="6" t="s">
        <v>52</v>
      </c>
      <c r="H134" s="6" t="s">
        <v>53</v>
      </c>
      <c r="I134" s="6" t="s">
        <v>658</v>
      </c>
      <c r="J134" s="6" t="s">
        <v>205</v>
      </c>
      <c r="K134" s="7" t="s">
        <v>49</v>
      </c>
      <c r="L134" s="6" t="s">
        <v>688</v>
      </c>
    </row>
    <row r="135" customFormat="false" ht="15" hidden="false" customHeight="false" outlineLevel="0" collapsed="false">
      <c r="A135" s="6" t="s">
        <v>671</v>
      </c>
      <c r="B135" s="6" t="s">
        <v>689</v>
      </c>
      <c r="C135" s="6" t="s">
        <v>690</v>
      </c>
      <c r="D135" s="6" t="s">
        <v>691</v>
      </c>
      <c r="E135" s="6" t="s">
        <v>692</v>
      </c>
      <c r="F135" s="6" t="s">
        <v>682</v>
      </c>
      <c r="G135" s="6" t="s">
        <v>52</v>
      </c>
      <c r="H135" s="6" t="s">
        <v>53</v>
      </c>
      <c r="I135" s="6" t="s">
        <v>658</v>
      </c>
      <c r="J135" s="6" t="s">
        <v>205</v>
      </c>
      <c r="K135" s="7" t="s">
        <v>49</v>
      </c>
      <c r="L135" s="6"/>
    </row>
    <row r="136" customFormat="false" ht="15" hidden="false" customHeight="false" outlineLevel="0" collapsed="false">
      <c r="A136" s="6" t="s">
        <v>671</v>
      </c>
      <c r="B136" s="6" t="s">
        <v>693</v>
      </c>
      <c r="C136" s="6" t="s">
        <v>694</v>
      </c>
      <c r="D136" s="6" t="s">
        <v>695</v>
      </c>
      <c r="E136" s="6" t="s">
        <v>696</v>
      </c>
      <c r="F136" s="6" t="s">
        <v>682</v>
      </c>
      <c r="G136" s="6" t="s">
        <v>52</v>
      </c>
      <c r="H136" s="6" t="s">
        <v>53</v>
      </c>
      <c r="I136" s="6" t="s">
        <v>658</v>
      </c>
      <c r="J136" s="6" t="s">
        <v>205</v>
      </c>
      <c r="K136" s="7" t="s">
        <v>49</v>
      </c>
      <c r="L136" s="6"/>
    </row>
    <row r="137" customFormat="false" ht="15" hidden="false" customHeight="false" outlineLevel="0" collapsed="false">
      <c r="A137" s="6" t="s">
        <v>697</v>
      </c>
      <c r="B137" s="6" t="s">
        <v>698</v>
      </c>
      <c r="C137" s="6" t="s">
        <v>699</v>
      </c>
      <c r="D137" s="6" t="s">
        <v>700</v>
      </c>
      <c r="E137" s="6" t="s">
        <v>701</v>
      </c>
      <c r="F137" s="6" t="s">
        <v>702</v>
      </c>
      <c r="G137" s="6" t="s">
        <v>52</v>
      </c>
      <c r="H137" s="6" t="s">
        <v>53</v>
      </c>
      <c r="I137" s="6" t="s">
        <v>658</v>
      </c>
      <c r="J137" s="6" t="s">
        <v>205</v>
      </c>
      <c r="K137" s="7" t="s">
        <v>49</v>
      </c>
      <c r="L137" s="6"/>
    </row>
    <row r="138" customFormat="false" ht="15" hidden="false" customHeight="false" outlineLevel="0" collapsed="false">
      <c r="A138" s="6" t="s">
        <v>703</v>
      </c>
      <c r="B138" s="6" t="s">
        <v>704</v>
      </c>
      <c r="C138" s="6" t="s">
        <v>705</v>
      </c>
      <c r="D138" s="6" t="s">
        <v>706</v>
      </c>
      <c r="E138" s="6" t="s">
        <v>707</v>
      </c>
      <c r="F138" s="6" t="s">
        <v>708</v>
      </c>
      <c r="G138" s="6" t="s">
        <v>52</v>
      </c>
      <c r="H138" s="6" t="s">
        <v>53</v>
      </c>
      <c r="I138" s="6" t="s">
        <v>709</v>
      </c>
      <c r="J138" s="6" t="s">
        <v>134</v>
      </c>
      <c r="K138" s="8" t="s">
        <v>56</v>
      </c>
      <c r="L138" s="6" t="s">
        <v>710</v>
      </c>
    </row>
    <row r="139" customFormat="false" ht="15" hidden="false" customHeight="false" outlineLevel="0" collapsed="false">
      <c r="A139" s="6" t="s">
        <v>703</v>
      </c>
      <c r="B139" s="6" t="s">
        <v>711</v>
      </c>
      <c r="C139" s="6" t="s">
        <v>712</v>
      </c>
      <c r="D139" s="6" t="s">
        <v>713</v>
      </c>
      <c r="E139" s="6" t="s">
        <v>714</v>
      </c>
      <c r="F139" s="6" t="s">
        <v>715</v>
      </c>
      <c r="G139" s="6" t="s">
        <v>52</v>
      </c>
      <c r="H139" s="6" t="s">
        <v>53</v>
      </c>
      <c r="I139" s="6" t="s">
        <v>98</v>
      </c>
      <c r="J139" s="6" t="s">
        <v>397</v>
      </c>
      <c r="K139" s="8" t="s">
        <v>56</v>
      </c>
      <c r="L139" s="6" t="s">
        <v>716</v>
      </c>
    </row>
    <row r="140" customFormat="false" ht="15" hidden="false" customHeight="false" outlineLevel="0" collapsed="false">
      <c r="A140" s="6" t="s">
        <v>703</v>
      </c>
      <c r="B140" s="6" t="s">
        <v>717</v>
      </c>
      <c r="C140" s="6" t="s">
        <v>718</v>
      </c>
      <c r="D140" s="6" t="s">
        <v>719</v>
      </c>
      <c r="E140" s="6" t="s">
        <v>720</v>
      </c>
      <c r="F140" s="6" t="s">
        <v>721</v>
      </c>
      <c r="G140" s="6" t="s">
        <v>52</v>
      </c>
      <c r="H140" s="6" t="s">
        <v>106</v>
      </c>
      <c r="I140" s="6" t="s">
        <v>98</v>
      </c>
      <c r="J140" s="6" t="s">
        <v>205</v>
      </c>
      <c r="K140" s="8" t="s">
        <v>56</v>
      </c>
      <c r="L140" s="6" t="s">
        <v>722</v>
      </c>
    </row>
    <row r="141" customFormat="false" ht="15" hidden="false" customHeight="false" outlineLevel="0" collapsed="false">
      <c r="A141" s="6" t="s">
        <v>703</v>
      </c>
      <c r="B141" s="6" t="s">
        <v>723</v>
      </c>
      <c r="C141" s="6" t="s">
        <v>724</v>
      </c>
      <c r="D141" s="6" t="s">
        <v>725</v>
      </c>
      <c r="E141" s="6" t="s">
        <v>726</v>
      </c>
      <c r="F141" s="6" t="s">
        <v>727</v>
      </c>
      <c r="G141" s="6" t="s">
        <v>52</v>
      </c>
      <c r="H141" s="6" t="s">
        <v>59</v>
      </c>
      <c r="I141" s="6" t="s">
        <v>98</v>
      </c>
      <c r="J141" s="6" t="s">
        <v>205</v>
      </c>
      <c r="K141" s="8" t="s">
        <v>56</v>
      </c>
      <c r="L141" s="6"/>
    </row>
    <row r="142" customFormat="false" ht="23.85" hidden="false" customHeight="false" outlineLevel="0" collapsed="false">
      <c r="A142" s="6" t="s">
        <v>728</v>
      </c>
      <c r="B142" s="6" t="s">
        <v>729</v>
      </c>
      <c r="C142" s="6" t="s">
        <v>730</v>
      </c>
      <c r="D142" s="6" t="s">
        <v>731</v>
      </c>
      <c r="E142" s="6" t="s">
        <v>732</v>
      </c>
      <c r="F142" s="6" t="s">
        <v>733</v>
      </c>
      <c r="G142" s="6" t="s">
        <v>52</v>
      </c>
      <c r="H142" s="6" t="s">
        <v>53</v>
      </c>
      <c r="I142" s="6" t="s">
        <v>98</v>
      </c>
      <c r="J142" s="6" t="s">
        <v>134</v>
      </c>
      <c r="K142" s="8" t="s">
        <v>56</v>
      </c>
      <c r="L142" s="6" t="s">
        <v>734</v>
      </c>
    </row>
    <row r="143" customFormat="false" ht="15" hidden="false" customHeight="false" outlineLevel="0" collapsed="false">
      <c r="A143" s="6" t="s">
        <v>728</v>
      </c>
      <c r="B143" s="6" t="s">
        <v>735</v>
      </c>
      <c r="C143" s="6" t="s">
        <v>736</v>
      </c>
      <c r="D143" s="6" t="s">
        <v>737</v>
      </c>
      <c r="E143" s="6" t="s">
        <v>738</v>
      </c>
      <c r="F143" s="6" t="s">
        <v>739</v>
      </c>
      <c r="G143" s="6" t="s">
        <v>52</v>
      </c>
      <c r="H143" s="6" t="s">
        <v>53</v>
      </c>
      <c r="I143" s="6" t="s">
        <v>98</v>
      </c>
      <c r="J143" s="6" t="s">
        <v>205</v>
      </c>
      <c r="K143" s="8" t="s">
        <v>56</v>
      </c>
      <c r="L143" s="6" t="s">
        <v>740</v>
      </c>
    </row>
    <row r="144" customFormat="false" ht="15" hidden="false" customHeight="false" outlineLevel="0" collapsed="false">
      <c r="A144" s="6" t="s">
        <v>741</v>
      </c>
      <c r="B144" s="6" t="s">
        <v>742</v>
      </c>
      <c r="C144" s="6" t="s">
        <v>743</v>
      </c>
      <c r="D144" s="6" t="s">
        <v>744</v>
      </c>
      <c r="E144" s="6" t="s">
        <v>745</v>
      </c>
      <c r="F144" s="6" t="s">
        <v>746</v>
      </c>
      <c r="G144" s="6" t="s">
        <v>52</v>
      </c>
      <c r="H144" s="6" t="s">
        <v>106</v>
      </c>
      <c r="I144" s="6" t="s">
        <v>747</v>
      </c>
      <c r="J144" s="6" t="s">
        <v>65</v>
      </c>
      <c r="K144" s="8" t="s">
        <v>56</v>
      </c>
      <c r="L144" s="6" t="s">
        <v>748</v>
      </c>
    </row>
    <row r="145" customFormat="false" ht="35.05" hidden="false" customHeight="false" outlineLevel="0" collapsed="false">
      <c r="A145" s="6" t="s">
        <v>741</v>
      </c>
      <c r="B145" s="6" t="s">
        <v>742</v>
      </c>
      <c r="C145" s="6" t="s">
        <v>743</v>
      </c>
      <c r="D145" s="6" t="s">
        <v>744</v>
      </c>
      <c r="E145" s="6" t="s">
        <v>745</v>
      </c>
      <c r="F145" s="6" t="s">
        <v>749</v>
      </c>
      <c r="G145" s="6" t="s">
        <v>750</v>
      </c>
      <c r="H145" s="6" t="s">
        <v>46</v>
      </c>
      <c r="I145" s="6" t="s">
        <v>751</v>
      </c>
      <c r="J145" s="6" t="s">
        <v>752</v>
      </c>
      <c r="K145" s="7" t="s">
        <v>49</v>
      </c>
      <c r="L145" s="6" t="s">
        <v>753</v>
      </c>
    </row>
    <row r="146" customFormat="false" ht="23.85" hidden="false" customHeight="false" outlineLevel="0" collapsed="false">
      <c r="A146" s="6" t="s">
        <v>741</v>
      </c>
      <c r="B146" s="6" t="s">
        <v>742</v>
      </c>
      <c r="C146" s="6" t="s">
        <v>743</v>
      </c>
      <c r="D146" s="6" t="s">
        <v>744</v>
      </c>
      <c r="E146" s="6" t="s">
        <v>745</v>
      </c>
      <c r="F146" s="6" t="s">
        <v>754</v>
      </c>
      <c r="G146" s="6" t="s">
        <v>52</v>
      </c>
      <c r="H146" s="6" t="s">
        <v>142</v>
      </c>
      <c r="I146" s="6" t="s">
        <v>755</v>
      </c>
      <c r="J146" s="6" t="s">
        <v>65</v>
      </c>
      <c r="K146" s="7" t="s">
        <v>49</v>
      </c>
      <c r="L146" s="6" t="s">
        <v>756</v>
      </c>
    </row>
    <row r="147" customFormat="false" ht="15" hidden="false" customHeight="false" outlineLevel="0" collapsed="false">
      <c r="A147" s="6" t="s">
        <v>757</v>
      </c>
      <c r="B147" s="6" t="s">
        <v>758</v>
      </c>
      <c r="C147" s="6" t="s">
        <v>759</v>
      </c>
      <c r="D147" s="6" t="s">
        <v>760</v>
      </c>
      <c r="E147" s="6" t="s">
        <v>761</v>
      </c>
      <c r="F147" s="6" t="s">
        <v>762</v>
      </c>
      <c r="G147" s="6" t="s">
        <v>52</v>
      </c>
      <c r="H147" s="6" t="s">
        <v>53</v>
      </c>
      <c r="I147" s="6" t="s">
        <v>763</v>
      </c>
      <c r="J147" s="6" t="s">
        <v>65</v>
      </c>
      <c r="K147" s="9" t="s">
        <v>103</v>
      </c>
      <c r="L147" s="6" t="s">
        <v>764</v>
      </c>
    </row>
    <row r="148" customFormat="false" ht="15" hidden="false" customHeight="false" outlineLevel="0" collapsed="false">
      <c r="A148" s="6" t="s">
        <v>757</v>
      </c>
      <c r="B148" s="6" t="s">
        <v>758</v>
      </c>
      <c r="C148" s="6" t="s">
        <v>759</v>
      </c>
      <c r="D148" s="6" t="s">
        <v>760</v>
      </c>
      <c r="E148" s="6" t="s">
        <v>761</v>
      </c>
      <c r="F148" s="6" t="s">
        <v>765</v>
      </c>
      <c r="G148" s="6" t="s">
        <v>52</v>
      </c>
      <c r="H148" s="6" t="s">
        <v>46</v>
      </c>
      <c r="I148" s="6" t="s">
        <v>766</v>
      </c>
      <c r="J148" s="6" t="s">
        <v>767</v>
      </c>
      <c r="K148" s="7" t="s">
        <v>49</v>
      </c>
      <c r="L148" s="6"/>
    </row>
    <row r="149" customFormat="false" ht="15" hidden="false" customHeight="false" outlineLevel="0" collapsed="false">
      <c r="A149" s="6" t="s">
        <v>757</v>
      </c>
      <c r="B149" s="6" t="s">
        <v>768</v>
      </c>
      <c r="C149" s="6" t="s">
        <v>769</v>
      </c>
      <c r="D149" s="6" t="s">
        <v>770</v>
      </c>
      <c r="E149" s="6" t="s">
        <v>771</v>
      </c>
      <c r="F149" s="6" t="s">
        <v>772</v>
      </c>
      <c r="G149" s="6" t="s">
        <v>52</v>
      </c>
      <c r="H149" s="6" t="s">
        <v>46</v>
      </c>
      <c r="I149" s="6" t="s">
        <v>766</v>
      </c>
      <c r="J149" s="6" t="s">
        <v>410</v>
      </c>
      <c r="K149" s="7" t="s">
        <v>49</v>
      </c>
      <c r="L149" s="6"/>
    </row>
    <row r="150" customFormat="false" ht="15" hidden="false" customHeight="false" outlineLevel="0" collapsed="false">
      <c r="A150" s="6" t="s">
        <v>757</v>
      </c>
      <c r="B150" s="6" t="s">
        <v>773</v>
      </c>
      <c r="C150" s="6" t="s">
        <v>774</v>
      </c>
      <c r="D150" s="6" t="s">
        <v>775</v>
      </c>
      <c r="E150" s="6" t="s">
        <v>776</v>
      </c>
      <c r="F150" s="6" t="s">
        <v>777</v>
      </c>
      <c r="G150" s="6" t="s">
        <v>52</v>
      </c>
      <c r="H150" s="6" t="s">
        <v>46</v>
      </c>
      <c r="I150" s="6" t="s">
        <v>766</v>
      </c>
      <c r="J150" s="6" t="s">
        <v>410</v>
      </c>
      <c r="K150" s="7" t="s">
        <v>49</v>
      </c>
      <c r="L150" s="6"/>
    </row>
    <row r="151" customFormat="false" ht="15" hidden="false" customHeight="false" outlineLevel="0" collapsed="false">
      <c r="A151" s="6" t="s">
        <v>757</v>
      </c>
      <c r="B151" s="6" t="s">
        <v>778</v>
      </c>
      <c r="C151" s="6" t="s">
        <v>779</v>
      </c>
      <c r="D151" s="6" t="s">
        <v>780</v>
      </c>
      <c r="E151" s="6" t="s">
        <v>781</v>
      </c>
      <c r="F151" s="6" t="s">
        <v>782</v>
      </c>
      <c r="G151" s="6" t="s">
        <v>52</v>
      </c>
      <c r="H151" s="6" t="s">
        <v>783</v>
      </c>
      <c r="I151" s="6" t="s">
        <v>766</v>
      </c>
      <c r="J151" s="6" t="s">
        <v>410</v>
      </c>
      <c r="K151" s="7" t="s">
        <v>49</v>
      </c>
      <c r="L151" s="6"/>
    </row>
    <row r="152" customFormat="false" ht="15" hidden="false" customHeight="false" outlineLevel="0" collapsed="false">
      <c r="A152" s="6" t="s">
        <v>784</v>
      </c>
      <c r="B152" s="6" t="s">
        <v>785</v>
      </c>
      <c r="C152" s="6" t="s">
        <v>786</v>
      </c>
      <c r="D152" s="6" t="s">
        <v>787</v>
      </c>
      <c r="E152" s="6" t="s">
        <v>788</v>
      </c>
      <c r="F152" s="6" t="s">
        <v>789</v>
      </c>
      <c r="G152" s="6" t="s">
        <v>52</v>
      </c>
      <c r="H152" s="6" t="s">
        <v>53</v>
      </c>
      <c r="I152" s="6" t="s">
        <v>790</v>
      </c>
      <c r="J152" s="6" t="s">
        <v>65</v>
      </c>
      <c r="K152" s="8" t="s">
        <v>56</v>
      </c>
      <c r="L152" s="6" t="s">
        <v>791</v>
      </c>
    </row>
    <row r="153" customFormat="false" ht="23.85" hidden="false" customHeight="false" outlineLevel="0" collapsed="false">
      <c r="A153" s="6" t="s">
        <v>784</v>
      </c>
      <c r="B153" s="6" t="s">
        <v>785</v>
      </c>
      <c r="C153" s="6" t="s">
        <v>786</v>
      </c>
      <c r="D153" s="6" t="s">
        <v>787</v>
      </c>
      <c r="E153" s="6" t="s">
        <v>788</v>
      </c>
      <c r="F153" s="6" t="s">
        <v>792</v>
      </c>
      <c r="G153" s="6" t="s">
        <v>52</v>
      </c>
      <c r="H153" s="6" t="s">
        <v>53</v>
      </c>
      <c r="I153" s="6" t="s">
        <v>793</v>
      </c>
      <c r="J153" s="6" t="s">
        <v>65</v>
      </c>
      <c r="K153" s="8" t="s">
        <v>56</v>
      </c>
      <c r="L153" s="6"/>
    </row>
    <row r="154" customFormat="false" ht="15" hidden="false" customHeight="false" outlineLevel="0" collapsed="false">
      <c r="A154" s="6" t="s">
        <v>784</v>
      </c>
      <c r="B154" s="6" t="s">
        <v>794</v>
      </c>
      <c r="C154" s="6" t="s">
        <v>795</v>
      </c>
      <c r="D154" s="6" t="s">
        <v>796</v>
      </c>
      <c r="E154" s="6" t="s">
        <v>797</v>
      </c>
      <c r="F154" s="6" t="s">
        <v>798</v>
      </c>
      <c r="G154" s="6" t="s">
        <v>52</v>
      </c>
      <c r="H154" s="6" t="s">
        <v>173</v>
      </c>
      <c r="I154" s="6" t="s">
        <v>799</v>
      </c>
      <c r="J154" s="6" t="s">
        <v>65</v>
      </c>
      <c r="K154" s="9" t="s">
        <v>103</v>
      </c>
      <c r="L154" s="6" t="s">
        <v>800</v>
      </c>
    </row>
    <row r="155" customFormat="false" ht="15" hidden="false" customHeight="false" outlineLevel="0" collapsed="false">
      <c r="A155" s="6" t="s">
        <v>801</v>
      </c>
      <c r="B155" s="6" t="s">
        <v>802</v>
      </c>
      <c r="C155" s="6" t="s">
        <v>803</v>
      </c>
      <c r="D155" s="6" t="s">
        <v>804</v>
      </c>
      <c r="E155" s="6" t="s">
        <v>805</v>
      </c>
      <c r="F155" s="6" t="s">
        <v>806</v>
      </c>
      <c r="G155" s="6" t="s">
        <v>52</v>
      </c>
      <c r="H155" s="6" t="s">
        <v>53</v>
      </c>
      <c r="I155" s="6" t="s">
        <v>71</v>
      </c>
      <c r="J155" s="6" t="s">
        <v>65</v>
      </c>
      <c r="K155" s="9" t="s">
        <v>103</v>
      </c>
      <c r="L155" s="6"/>
    </row>
    <row r="156" customFormat="false" ht="23.85" hidden="false" customHeight="false" outlineLevel="0" collapsed="false">
      <c r="A156" s="6" t="s">
        <v>801</v>
      </c>
      <c r="B156" s="6" t="s">
        <v>802</v>
      </c>
      <c r="C156" s="6" t="s">
        <v>807</v>
      </c>
      <c r="D156" s="6" t="s">
        <v>808</v>
      </c>
      <c r="E156" s="6" t="s">
        <v>809</v>
      </c>
      <c r="F156" s="6" t="s">
        <v>810</v>
      </c>
      <c r="G156" s="6" t="s">
        <v>52</v>
      </c>
      <c r="H156" s="6" t="s">
        <v>46</v>
      </c>
      <c r="I156" s="6" t="s">
        <v>766</v>
      </c>
      <c r="J156" s="6" t="s">
        <v>397</v>
      </c>
      <c r="K156" s="7" t="s">
        <v>49</v>
      </c>
      <c r="L156" s="6" t="s">
        <v>811</v>
      </c>
    </row>
    <row r="157" customFormat="false" ht="23.85" hidden="false" customHeight="false" outlineLevel="0" collapsed="false">
      <c r="A157" s="6" t="s">
        <v>812</v>
      </c>
      <c r="B157" s="6" t="s">
        <v>813</v>
      </c>
      <c r="C157" s="6" t="s">
        <v>814</v>
      </c>
      <c r="D157" s="6" t="s">
        <v>815</v>
      </c>
      <c r="E157" s="6" t="s">
        <v>816</v>
      </c>
      <c r="F157" s="6" t="s">
        <v>817</v>
      </c>
      <c r="G157" s="6" t="s">
        <v>141</v>
      </c>
      <c r="H157" s="6" t="s">
        <v>46</v>
      </c>
      <c r="I157" s="6" t="s">
        <v>818</v>
      </c>
      <c r="J157" s="6" t="s">
        <v>65</v>
      </c>
      <c r="K157" s="7" t="s">
        <v>49</v>
      </c>
      <c r="L157" s="6" t="s">
        <v>819</v>
      </c>
    </row>
    <row r="158" customFormat="false" ht="15" hidden="false" customHeight="false" outlineLevel="0" collapsed="false">
      <c r="A158" s="6" t="s">
        <v>812</v>
      </c>
      <c r="B158" s="6" t="s">
        <v>820</v>
      </c>
      <c r="C158" s="6" t="s">
        <v>821</v>
      </c>
      <c r="D158" s="6" t="s">
        <v>822</v>
      </c>
      <c r="E158" s="6" t="s">
        <v>823</v>
      </c>
      <c r="F158" s="6" t="s">
        <v>824</v>
      </c>
      <c r="G158" s="6" t="s">
        <v>45</v>
      </c>
      <c r="H158" s="6" t="s">
        <v>46</v>
      </c>
      <c r="I158" s="6" t="s">
        <v>825</v>
      </c>
      <c r="J158" s="6" t="s">
        <v>205</v>
      </c>
      <c r="K158" s="7" t="s">
        <v>49</v>
      </c>
      <c r="L158" s="6"/>
    </row>
    <row r="159" customFormat="false" ht="15" hidden="false" customHeight="false" outlineLevel="0" collapsed="false">
      <c r="A159" s="6" t="s">
        <v>812</v>
      </c>
      <c r="B159" s="6" t="s">
        <v>826</v>
      </c>
      <c r="C159" s="6" t="s">
        <v>827</v>
      </c>
      <c r="D159" s="6" t="s">
        <v>828</v>
      </c>
      <c r="E159" s="6" t="s">
        <v>829</v>
      </c>
      <c r="F159" s="6" t="s">
        <v>830</v>
      </c>
      <c r="G159" s="6" t="s">
        <v>45</v>
      </c>
      <c r="H159" s="6" t="s">
        <v>46</v>
      </c>
      <c r="I159" s="6" t="s">
        <v>825</v>
      </c>
      <c r="J159" s="6" t="s">
        <v>410</v>
      </c>
      <c r="K159" s="7" t="s">
        <v>49</v>
      </c>
      <c r="L159" s="6" t="s">
        <v>831</v>
      </c>
    </row>
    <row r="160" customFormat="false" ht="15" hidden="false" customHeight="false" outlineLevel="0" collapsed="false">
      <c r="A160" s="6" t="s">
        <v>832</v>
      </c>
      <c r="B160" s="6" t="s">
        <v>833</v>
      </c>
      <c r="C160" s="6" t="s">
        <v>834</v>
      </c>
      <c r="D160" s="6" t="s">
        <v>835</v>
      </c>
      <c r="E160" s="6" t="s">
        <v>836</v>
      </c>
      <c r="F160" s="6" t="s">
        <v>837</v>
      </c>
      <c r="G160" s="6" t="s">
        <v>52</v>
      </c>
      <c r="H160" s="6" t="s">
        <v>53</v>
      </c>
      <c r="I160" s="6" t="s">
        <v>838</v>
      </c>
      <c r="J160" s="6" t="s">
        <v>65</v>
      </c>
      <c r="K160" s="9" t="s">
        <v>103</v>
      </c>
      <c r="L160" s="6"/>
    </row>
    <row r="161" customFormat="false" ht="15" hidden="false" customHeight="false" outlineLevel="0" collapsed="false">
      <c r="A161" s="6" t="s">
        <v>832</v>
      </c>
      <c r="B161" s="6" t="s">
        <v>839</v>
      </c>
      <c r="C161" s="6" t="s">
        <v>840</v>
      </c>
      <c r="D161" s="6" t="s">
        <v>841</v>
      </c>
      <c r="E161" s="6" t="s">
        <v>842</v>
      </c>
      <c r="F161" s="6" t="s">
        <v>843</v>
      </c>
      <c r="G161" s="6" t="s">
        <v>52</v>
      </c>
      <c r="H161" s="6" t="s">
        <v>53</v>
      </c>
      <c r="I161" s="6" t="s">
        <v>844</v>
      </c>
      <c r="J161" s="6" t="s">
        <v>65</v>
      </c>
      <c r="K161" s="9" t="s">
        <v>103</v>
      </c>
      <c r="L161" s="6" t="s">
        <v>845</v>
      </c>
    </row>
    <row r="162" customFormat="false" ht="15" hidden="false" customHeight="false" outlineLevel="0" collapsed="false">
      <c r="A162" s="6" t="s">
        <v>832</v>
      </c>
      <c r="B162" s="6" t="s">
        <v>846</v>
      </c>
      <c r="C162" s="6" t="s">
        <v>847</v>
      </c>
      <c r="D162" s="6" t="s">
        <v>848</v>
      </c>
      <c r="E162" s="6" t="s">
        <v>849</v>
      </c>
      <c r="F162" s="6" t="s">
        <v>850</v>
      </c>
      <c r="G162" s="6" t="s">
        <v>52</v>
      </c>
      <c r="H162" s="6" t="s">
        <v>53</v>
      </c>
      <c r="I162" s="6" t="s">
        <v>851</v>
      </c>
      <c r="J162" s="6" t="s">
        <v>65</v>
      </c>
      <c r="K162" s="9" t="s">
        <v>103</v>
      </c>
      <c r="L162" s="6" t="s">
        <v>852</v>
      </c>
    </row>
    <row r="163" customFormat="false" ht="15" hidden="false" customHeight="false" outlineLevel="0" collapsed="false">
      <c r="A163" s="6" t="s">
        <v>853</v>
      </c>
      <c r="B163" s="6" t="s">
        <v>854</v>
      </c>
      <c r="C163" s="6" t="s">
        <v>855</v>
      </c>
      <c r="D163" s="6" t="s">
        <v>856</v>
      </c>
      <c r="E163" s="6" t="s">
        <v>857</v>
      </c>
      <c r="F163" s="6" t="s">
        <v>858</v>
      </c>
      <c r="G163" s="6" t="s">
        <v>52</v>
      </c>
      <c r="H163" s="6" t="s">
        <v>53</v>
      </c>
      <c r="I163" s="6" t="s">
        <v>859</v>
      </c>
      <c r="J163" s="6" t="s">
        <v>65</v>
      </c>
      <c r="K163" s="8" t="s">
        <v>56</v>
      </c>
      <c r="L163" s="6"/>
    </row>
    <row r="164" customFormat="false" ht="15" hidden="false" customHeight="false" outlineLevel="0" collapsed="false">
      <c r="A164" s="6" t="s">
        <v>853</v>
      </c>
      <c r="B164" s="6" t="s">
        <v>860</v>
      </c>
      <c r="C164" s="6" t="s">
        <v>861</v>
      </c>
      <c r="D164" s="6" t="s">
        <v>862</v>
      </c>
      <c r="E164" s="6" t="s">
        <v>863</v>
      </c>
      <c r="F164" s="6" t="s">
        <v>858</v>
      </c>
      <c r="G164" s="6" t="s">
        <v>52</v>
      </c>
      <c r="H164" s="6" t="s">
        <v>53</v>
      </c>
      <c r="I164" s="6" t="s">
        <v>864</v>
      </c>
      <c r="J164" s="6" t="s">
        <v>65</v>
      </c>
      <c r="K164" s="8" t="s">
        <v>56</v>
      </c>
      <c r="L164" s="6"/>
    </row>
    <row r="165" customFormat="false" ht="23.85" hidden="false" customHeight="false" outlineLevel="0" collapsed="false">
      <c r="A165" s="6" t="s">
        <v>865</v>
      </c>
      <c r="B165" s="6" t="s">
        <v>865</v>
      </c>
      <c r="C165" s="6" t="s">
        <v>866</v>
      </c>
      <c r="D165" s="6" t="s">
        <v>867</v>
      </c>
      <c r="E165" s="6" t="s">
        <v>868</v>
      </c>
      <c r="F165" s="6" t="s">
        <v>869</v>
      </c>
      <c r="G165" s="6" t="s">
        <v>52</v>
      </c>
      <c r="H165" s="6" t="s">
        <v>53</v>
      </c>
      <c r="I165" s="6" t="s">
        <v>870</v>
      </c>
      <c r="J165" s="6" t="s">
        <v>65</v>
      </c>
      <c r="K165" s="8" t="s">
        <v>56</v>
      </c>
      <c r="L165" s="6"/>
    </row>
  </sheetData>
  <autoFilter ref="A1:M1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B27" activeCellId="0" sqref="B27"/>
    </sheetView>
  </sheetViews>
  <sheetFormatPr defaultColWidth="8.6796875" defaultRowHeight="15" zeroHeight="false" outlineLevelRow="0" outlineLevelCol="0"/>
  <cols>
    <col collapsed="false" customWidth="true" hidden="false" outlineLevel="0" max="2" min="1" style="1" width="22"/>
    <col collapsed="false" customWidth="true" hidden="false" outlineLevel="0" max="4" min="3" style="1" width="12"/>
    <col collapsed="false" customWidth="true" hidden="false" outlineLevel="0" max="5" min="5" style="1" width="14"/>
  </cols>
  <sheetData>
    <row r="1" customFormat="false" ht="17.35" hidden="false" customHeight="false" outlineLevel="0" collapsed="false">
      <c r="A1" s="10" t="s">
        <v>871</v>
      </c>
      <c r="B1" s="10"/>
      <c r="C1" s="10"/>
      <c r="D1" s="10"/>
      <c r="E1" s="10"/>
    </row>
    <row r="2" customFormat="false" ht="15" hidden="false" customHeight="false" outlineLevel="0" collapsed="false">
      <c r="A2" s="11" t="s">
        <v>28</v>
      </c>
      <c r="B2" s="11" t="s">
        <v>872</v>
      </c>
      <c r="C2" s="11" t="s">
        <v>49</v>
      </c>
      <c r="D2" s="11" t="s">
        <v>56</v>
      </c>
      <c r="E2" s="11" t="s">
        <v>103</v>
      </c>
    </row>
    <row r="3" customFormat="false" ht="15" hidden="false" customHeight="false" outlineLevel="0" collapsed="false">
      <c r="A3" s="3" t="s">
        <v>39</v>
      </c>
      <c r="B3" s="12" t="n">
        <f aca="false">COUNTIF('FBO &amp; Handler Directory'!A:A,A3)</f>
        <v>42</v>
      </c>
      <c r="C3" s="12" t="n">
        <f aca="false">COUNTIFS('FBO &amp; Handler Directory'!A:A,A3,'FBO &amp; Handler Directory'!K:K,"Modern")</f>
        <v>25</v>
      </c>
      <c r="D3" s="12" t="n">
        <f aca="false">COUNTIFS('FBO &amp; Handler Directory'!A:A,A3,'FBO &amp; Handler Directory'!K:K,"Mixed")</f>
        <v>15</v>
      </c>
      <c r="E3" s="12" t="n">
        <f aca="false">COUNTIFS('FBO &amp; Handler Directory'!A:A,A3,'FBO &amp; Handler Directory'!K:K,"Traditional")</f>
        <v>2</v>
      </c>
    </row>
    <row r="4" customFormat="false" ht="15" hidden="false" customHeight="false" outlineLevel="0" collapsed="false">
      <c r="A4" s="3" t="s">
        <v>207</v>
      </c>
      <c r="B4" s="12" t="n">
        <f aca="false">COUNTIF('FBO &amp; Handler Directory'!A:A,A4)</f>
        <v>18</v>
      </c>
      <c r="C4" s="12" t="n">
        <f aca="false">COUNTIFS('FBO &amp; Handler Directory'!A:A,A4,'FBO &amp; Handler Directory'!K:K,"Modern")</f>
        <v>4</v>
      </c>
      <c r="D4" s="12" t="n">
        <f aca="false">COUNTIFS('FBO &amp; Handler Directory'!A:A,A4,'FBO &amp; Handler Directory'!K:K,"Mixed")</f>
        <v>1</v>
      </c>
      <c r="E4" s="12" t="n">
        <f aca="false">COUNTIFS('FBO &amp; Handler Directory'!A:A,A4,'FBO &amp; Handler Directory'!K:K,"Traditional")</f>
        <v>13</v>
      </c>
    </row>
    <row r="5" customFormat="false" ht="15" hidden="false" customHeight="false" outlineLevel="0" collapsed="false">
      <c r="A5" s="3" t="s">
        <v>301</v>
      </c>
      <c r="B5" s="12" t="n">
        <f aca="false">COUNTIF('FBO &amp; Handler Directory'!A:A,A5)</f>
        <v>22</v>
      </c>
      <c r="C5" s="12" t="n">
        <f aca="false">COUNTIFS('FBO &amp; Handler Directory'!A:A,A5,'FBO &amp; Handler Directory'!K:K,"Modern")</f>
        <v>14</v>
      </c>
      <c r="D5" s="12" t="n">
        <f aca="false">COUNTIFS('FBO &amp; Handler Directory'!A:A,A5,'FBO &amp; Handler Directory'!K:K,"Mixed")</f>
        <v>6</v>
      </c>
      <c r="E5" s="12" t="n">
        <f aca="false">COUNTIFS('FBO &amp; Handler Directory'!A:A,A5,'FBO &amp; Handler Directory'!K:K,"Traditional")</f>
        <v>2</v>
      </c>
    </row>
    <row r="6" customFormat="false" ht="15" hidden="false" customHeight="false" outlineLevel="0" collapsed="false">
      <c r="A6" s="3" t="s">
        <v>412</v>
      </c>
      <c r="B6" s="12" t="n">
        <f aca="false">COUNTIF('FBO &amp; Handler Directory'!A:A,A6)</f>
        <v>11</v>
      </c>
      <c r="C6" s="12" t="n">
        <f aca="false">COUNTIFS('FBO &amp; Handler Directory'!A:A,A6,'FBO &amp; Handler Directory'!K:K,"Modern")</f>
        <v>3</v>
      </c>
      <c r="D6" s="12" t="n">
        <f aca="false">COUNTIFS('FBO &amp; Handler Directory'!A:A,A6,'FBO &amp; Handler Directory'!K:K,"Mixed")</f>
        <v>0</v>
      </c>
      <c r="E6" s="12" t="n">
        <f aca="false">COUNTIFS('FBO &amp; Handler Directory'!A:A,A6,'FBO &amp; Handler Directory'!K:K,"Traditional")</f>
        <v>8</v>
      </c>
    </row>
    <row r="7" customFormat="false" ht="15" hidden="false" customHeight="false" outlineLevel="0" collapsed="false">
      <c r="A7" s="3" t="s">
        <v>482</v>
      </c>
      <c r="B7" s="12" t="n">
        <f aca="false">COUNTIF('FBO &amp; Handler Directory'!A:A,A7)</f>
        <v>12</v>
      </c>
      <c r="C7" s="12" t="n">
        <f aca="false">COUNTIFS('FBO &amp; Handler Directory'!A:A,A7,'FBO &amp; Handler Directory'!K:K,"Modern")</f>
        <v>7</v>
      </c>
      <c r="D7" s="12" t="n">
        <f aca="false">COUNTIFS('FBO &amp; Handler Directory'!A:A,A7,'FBO &amp; Handler Directory'!K:K,"Mixed")</f>
        <v>5</v>
      </c>
      <c r="E7" s="12" t="n">
        <f aca="false">COUNTIFS('FBO &amp; Handler Directory'!A:A,A7,'FBO &amp; Handler Directory'!K:K,"Traditional")</f>
        <v>0</v>
      </c>
    </row>
    <row r="8" customFormat="false" ht="15" hidden="false" customHeight="false" outlineLevel="0" collapsed="false">
      <c r="A8" s="3" t="s">
        <v>542</v>
      </c>
      <c r="B8" s="12" t="n">
        <f aca="false">COUNTIF('FBO &amp; Handler Directory'!A:A,A8)</f>
        <v>13</v>
      </c>
      <c r="C8" s="12" t="n">
        <f aca="false">COUNTIFS('FBO &amp; Handler Directory'!A:A,A8,'FBO &amp; Handler Directory'!K:K,"Modern")</f>
        <v>3</v>
      </c>
      <c r="D8" s="12" t="n">
        <f aca="false">COUNTIFS('FBO &amp; Handler Directory'!A:A,A8,'FBO &amp; Handler Directory'!K:K,"Mixed")</f>
        <v>10</v>
      </c>
      <c r="E8" s="12" t="n">
        <f aca="false">COUNTIFS('FBO &amp; Handler Directory'!A:A,A8,'FBO &amp; Handler Directory'!K:K,"Traditional")</f>
        <v>0</v>
      </c>
    </row>
    <row r="9" customFormat="false" ht="15" hidden="false" customHeight="false" outlineLevel="0" collapsed="false">
      <c r="A9" s="3" t="s">
        <v>606</v>
      </c>
      <c r="B9" s="12" t="n">
        <f aca="false">COUNTIF('FBO &amp; Handler Directory'!A:A,A9)</f>
        <v>6</v>
      </c>
      <c r="C9" s="12" t="n">
        <f aca="false">COUNTIFS('FBO &amp; Handler Directory'!A:A,A9,'FBO &amp; Handler Directory'!K:K,"Modern")</f>
        <v>1</v>
      </c>
      <c r="D9" s="12" t="n">
        <f aca="false">COUNTIFS('FBO &amp; Handler Directory'!A:A,A9,'FBO &amp; Handler Directory'!K:K,"Mixed")</f>
        <v>5</v>
      </c>
      <c r="E9" s="12" t="n">
        <f aca="false">COUNTIFS('FBO &amp; Handler Directory'!A:A,A9,'FBO &amp; Handler Directory'!K:K,"Traditional")</f>
        <v>0</v>
      </c>
    </row>
    <row r="10" customFormat="false" ht="15" hidden="false" customHeight="false" outlineLevel="0" collapsed="false">
      <c r="A10" s="3" t="s">
        <v>638</v>
      </c>
      <c r="B10" s="12" t="n">
        <f aca="false">COUNTIF('FBO &amp; Handler Directory'!A:A,A10)</f>
        <v>2</v>
      </c>
      <c r="C10" s="12" t="n">
        <f aca="false">COUNTIFS('FBO &amp; Handler Directory'!A:A,A10,'FBO &amp; Handler Directory'!K:K,"Modern")</f>
        <v>1</v>
      </c>
      <c r="D10" s="12" t="n">
        <f aca="false">COUNTIFS('FBO &amp; Handler Directory'!A:A,A10,'FBO &amp; Handler Directory'!K:K,"Mixed")</f>
        <v>1</v>
      </c>
      <c r="E10" s="12" t="n">
        <f aca="false">COUNTIFS('FBO &amp; Handler Directory'!A:A,A10,'FBO &amp; Handler Directory'!K:K,"Traditional")</f>
        <v>0</v>
      </c>
    </row>
    <row r="11" customFormat="false" ht="15" hidden="false" customHeight="false" outlineLevel="0" collapsed="false">
      <c r="A11" s="3" t="s">
        <v>652</v>
      </c>
      <c r="B11" s="12" t="n">
        <f aca="false">COUNTIF('FBO &amp; Handler Directory'!A:A,A11)</f>
        <v>4</v>
      </c>
      <c r="C11" s="12" t="n">
        <f aca="false">COUNTIFS('FBO &amp; Handler Directory'!A:A,A11,'FBO &amp; Handler Directory'!K:K,"Modern")</f>
        <v>3</v>
      </c>
      <c r="D11" s="12" t="n">
        <f aca="false">COUNTIFS('FBO &amp; Handler Directory'!A:A,A11,'FBO &amp; Handler Directory'!K:K,"Mixed")</f>
        <v>1</v>
      </c>
      <c r="E11" s="12" t="n">
        <f aca="false">COUNTIFS('FBO &amp; Handler Directory'!A:A,A11,'FBO &amp; Handler Directory'!K:K,"Traditional")</f>
        <v>0</v>
      </c>
    </row>
    <row r="12" customFormat="false" ht="15" hidden="false" customHeight="false" outlineLevel="0" collapsed="false">
      <c r="A12" s="3" t="s">
        <v>671</v>
      </c>
      <c r="B12" s="12" t="n">
        <f aca="false">COUNTIF('FBO &amp; Handler Directory'!A:A,A12)</f>
        <v>5</v>
      </c>
      <c r="C12" s="12" t="n">
        <f aca="false">COUNTIFS('FBO &amp; Handler Directory'!A:A,A12,'FBO &amp; Handler Directory'!K:K,"Modern")</f>
        <v>4</v>
      </c>
      <c r="D12" s="12" t="n">
        <f aca="false">COUNTIFS('FBO &amp; Handler Directory'!A:A,A12,'FBO &amp; Handler Directory'!K:K,"Mixed")</f>
        <v>1</v>
      </c>
      <c r="E12" s="12" t="n">
        <f aca="false">COUNTIFS('FBO &amp; Handler Directory'!A:A,A12,'FBO &amp; Handler Directory'!K:K,"Traditional")</f>
        <v>0</v>
      </c>
    </row>
    <row r="13" customFormat="false" ht="15" hidden="false" customHeight="false" outlineLevel="0" collapsed="false">
      <c r="A13" s="3" t="s">
        <v>697</v>
      </c>
      <c r="B13" s="12" t="n">
        <f aca="false">COUNTIF('FBO &amp; Handler Directory'!A:A,A13)</f>
        <v>1</v>
      </c>
      <c r="C13" s="12" t="n">
        <f aca="false">COUNTIFS('FBO &amp; Handler Directory'!A:A,A13,'FBO &amp; Handler Directory'!K:K,"Modern")</f>
        <v>1</v>
      </c>
      <c r="D13" s="12" t="n">
        <f aca="false">COUNTIFS('FBO &amp; Handler Directory'!A:A,A13,'FBO &amp; Handler Directory'!K:K,"Mixed")</f>
        <v>0</v>
      </c>
      <c r="E13" s="12" t="n">
        <f aca="false">COUNTIFS('FBO &amp; Handler Directory'!A:A,A13,'FBO &amp; Handler Directory'!K:K,"Traditional")</f>
        <v>0</v>
      </c>
    </row>
    <row r="14" customFormat="false" ht="15" hidden="false" customHeight="false" outlineLevel="0" collapsed="false">
      <c r="A14" s="3" t="s">
        <v>703</v>
      </c>
      <c r="B14" s="12" t="n">
        <f aca="false">COUNTIF('FBO &amp; Handler Directory'!A:A,A14)</f>
        <v>4</v>
      </c>
      <c r="C14" s="12" t="n">
        <f aca="false">COUNTIFS('FBO &amp; Handler Directory'!A:A,A14,'FBO &amp; Handler Directory'!K:K,"Modern")</f>
        <v>0</v>
      </c>
      <c r="D14" s="12" t="n">
        <f aca="false">COUNTIFS('FBO &amp; Handler Directory'!A:A,A14,'FBO &amp; Handler Directory'!K:K,"Mixed")</f>
        <v>4</v>
      </c>
      <c r="E14" s="12" t="n">
        <f aca="false">COUNTIFS('FBO &amp; Handler Directory'!A:A,A14,'FBO &amp; Handler Directory'!K:K,"Traditional")</f>
        <v>0</v>
      </c>
    </row>
    <row r="15" customFormat="false" ht="15" hidden="false" customHeight="false" outlineLevel="0" collapsed="false">
      <c r="A15" s="3" t="s">
        <v>728</v>
      </c>
      <c r="B15" s="12" t="n">
        <f aca="false">COUNTIF('FBO &amp; Handler Directory'!A:A,A15)</f>
        <v>2</v>
      </c>
      <c r="C15" s="12" t="n">
        <f aca="false">COUNTIFS('FBO &amp; Handler Directory'!A:A,A15,'FBO &amp; Handler Directory'!K:K,"Modern")</f>
        <v>0</v>
      </c>
      <c r="D15" s="12" t="n">
        <f aca="false">COUNTIFS('FBO &amp; Handler Directory'!A:A,A15,'FBO &amp; Handler Directory'!K:K,"Mixed")</f>
        <v>2</v>
      </c>
      <c r="E15" s="12" t="n">
        <f aca="false">COUNTIFS('FBO &amp; Handler Directory'!A:A,A15,'FBO &amp; Handler Directory'!K:K,"Traditional")</f>
        <v>0</v>
      </c>
    </row>
    <row r="16" customFormat="false" ht="15" hidden="false" customHeight="false" outlineLevel="0" collapsed="false">
      <c r="A16" s="3" t="s">
        <v>741</v>
      </c>
      <c r="B16" s="12" t="n">
        <f aca="false">COUNTIF('FBO &amp; Handler Directory'!A:A,A16)</f>
        <v>3</v>
      </c>
      <c r="C16" s="12" t="n">
        <f aca="false">COUNTIFS('FBO &amp; Handler Directory'!A:A,A16,'FBO &amp; Handler Directory'!K:K,"Modern")</f>
        <v>2</v>
      </c>
      <c r="D16" s="12" t="n">
        <f aca="false">COUNTIFS('FBO &amp; Handler Directory'!A:A,A16,'FBO &amp; Handler Directory'!K:K,"Mixed")</f>
        <v>1</v>
      </c>
      <c r="E16" s="12" t="n">
        <f aca="false">COUNTIFS('FBO &amp; Handler Directory'!A:A,A16,'FBO &amp; Handler Directory'!K:K,"Traditional")</f>
        <v>0</v>
      </c>
    </row>
    <row r="17" customFormat="false" ht="15" hidden="false" customHeight="false" outlineLevel="0" collapsed="false">
      <c r="A17" s="3" t="s">
        <v>757</v>
      </c>
      <c r="B17" s="12" t="n">
        <f aca="false">COUNTIF('FBO &amp; Handler Directory'!A:A,A17)</f>
        <v>5</v>
      </c>
      <c r="C17" s="12" t="n">
        <f aca="false">COUNTIFS('FBO &amp; Handler Directory'!A:A,A17,'FBO &amp; Handler Directory'!K:K,"Modern")</f>
        <v>4</v>
      </c>
      <c r="D17" s="12" t="n">
        <f aca="false">COUNTIFS('FBO &amp; Handler Directory'!A:A,A17,'FBO &amp; Handler Directory'!K:K,"Mixed")</f>
        <v>0</v>
      </c>
      <c r="E17" s="12" t="n">
        <f aca="false">COUNTIFS('FBO &amp; Handler Directory'!A:A,A17,'FBO &amp; Handler Directory'!K:K,"Traditional")</f>
        <v>1</v>
      </c>
    </row>
    <row r="18" customFormat="false" ht="15" hidden="false" customHeight="false" outlineLevel="0" collapsed="false">
      <c r="A18" s="3" t="s">
        <v>784</v>
      </c>
      <c r="B18" s="12" t="n">
        <f aca="false">COUNTIF('FBO &amp; Handler Directory'!A:A,A18)</f>
        <v>3</v>
      </c>
      <c r="C18" s="12" t="n">
        <f aca="false">COUNTIFS('FBO &amp; Handler Directory'!A:A,A18,'FBO &amp; Handler Directory'!K:K,"Modern")</f>
        <v>0</v>
      </c>
      <c r="D18" s="12" t="n">
        <f aca="false">COUNTIFS('FBO &amp; Handler Directory'!A:A,A18,'FBO &amp; Handler Directory'!K:K,"Mixed")</f>
        <v>2</v>
      </c>
      <c r="E18" s="12" t="n">
        <f aca="false">COUNTIFS('FBO &amp; Handler Directory'!A:A,A18,'FBO &amp; Handler Directory'!K:K,"Traditional")</f>
        <v>1</v>
      </c>
    </row>
    <row r="19" customFormat="false" ht="15" hidden="false" customHeight="false" outlineLevel="0" collapsed="false">
      <c r="A19" s="3" t="s">
        <v>801</v>
      </c>
      <c r="B19" s="12" t="n">
        <f aca="false">COUNTIF('FBO &amp; Handler Directory'!A:A,A19)</f>
        <v>2</v>
      </c>
      <c r="C19" s="12" t="n">
        <f aca="false">COUNTIFS('FBO &amp; Handler Directory'!A:A,A19,'FBO &amp; Handler Directory'!K:K,"Modern")</f>
        <v>1</v>
      </c>
      <c r="D19" s="12" t="n">
        <f aca="false">COUNTIFS('FBO &amp; Handler Directory'!A:A,A19,'FBO &amp; Handler Directory'!K:K,"Mixed")</f>
        <v>0</v>
      </c>
      <c r="E19" s="12" t="n">
        <f aca="false">COUNTIFS('FBO &amp; Handler Directory'!A:A,A19,'FBO &amp; Handler Directory'!K:K,"Traditional")</f>
        <v>1</v>
      </c>
    </row>
    <row r="20" customFormat="false" ht="15" hidden="false" customHeight="false" outlineLevel="0" collapsed="false">
      <c r="A20" s="3" t="s">
        <v>812</v>
      </c>
      <c r="B20" s="12" t="n">
        <f aca="false">COUNTIF('FBO &amp; Handler Directory'!A:A,A20)</f>
        <v>3</v>
      </c>
      <c r="C20" s="12" t="n">
        <f aca="false">COUNTIFS('FBO &amp; Handler Directory'!A:A,A20,'FBO &amp; Handler Directory'!K:K,"Modern")</f>
        <v>3</v>
      </c>
      <c r="D20" s="12" t="n">
        <f aca="false">COUNTIFS('FBO &amp; Handler Directory'!A:A,A20,'FBO &amp; Handler Directory'!K:K,"Mixed")</f>
        <v>0</v>
      </c>
      <c r="E20" s="12" t="n">
        <f aca="false">COUNTIFS('FBO &amp; Handler Directory'!A:A,A20,'FBO &amp; Handler Directory'!K:K,"Traditional")</f>
        <v>0</v>
      </c>
    </row>
    <row r="21" customFormat="false" ht="15" hidden="false" customHeight="false" outlineLevel="0" collapsed="false">
      <c r="A21" s="3" t="s">
        <v>832</v>
      </c>
      <c r="B21" s="12" t="n">
        <f aca="false">COUNTIF('FBO &amp; Handler Directory'!A:A,A21)</f>
        <v>3</v>
      </c>
      <c r="C21" s="12" t="n">
        <f aca="false">COUNTIFS('FBO &amp; Handler Directory'!A:A,A21,'FBO &amp; Handler Directory'!K:K,"Modern")</f>
        <v>0</v>
      </c>
      <c r="D21" s="12" t="n">
        <f aca="false">COUNTIFS('FBO &amp; Handler Directory'!A:A,A21,'FBO &amp; Handler Directory'!K:K,"Mixed")</f>
        <v>0</v>
      </c>
      <c r="E21" s="12" t="n">
        <f aca="false">COUNTIFS('FBO &amp; Handler Directory'!A:A,A21,'FBO &amp; Handler Directory'!K:K,"Traditional")</f>
        <v>3</v>
      </c>
    </row>
    <row r="22" customFormat="false" ht="15" hidden="false" customHeight="false" outlineLevel="0" collapsed="false">
      <c r="A22" s="3" t="s">
        <v>853</v>
      </c>
      <c r="B22" s="12" t="n">
        <f aca="false">COUNTIF('FBO &amp; Handler Directory'!A:A,A22)</f>
        <v>2</v>
      </c>
      <c r="C22" s="12" t="n">
        <f aca="false">COUNTIFS('FBO &amp; Handler Directory'!A:A,A22,'FBO &amp; Handler Directory'!K:K,"Modern")</f>
        <v>0</v>
      </c>
      <c r="D22" s="12" t="n">
        <f aca="false">COUNTIFS('FBO &amp; Handler Directory'!A:A,A22,'FBO &amp; Handler Directory'!K:K,"Mixed")</f>
        <v>2</v>
      </c>
      <c r="E22" s="12" t="n">
        <f aca="false">COUNTIFS('FBO &amp; Handler Directory'!A:A,A22,'FBO &amp; Handler Directory'!K:K,"Traditional")</f>
        <v>0</v>
      </c>
    </row>
    <row r="23" customFormat="false" ht="15" hidden="false" customHeight="false" outlineLevel="0" collapsed="false">
      <c r="A23" s="3" t="s">
        <v>865</v>
      </c>
      <c r="B23" s="12" t="n">
        <f aca="false">COUNTIF('FBO &amp; Handler Directory'!A:A,A23)</f>
        <v>1</v>
      </c>
      <c r="C23" s="12" t="n">
        <f aca="false">COUNTIFS('FBO &amp; Handler Directory'!A:A,A23,'FBO &amp; Handler Directory'!K:K,"Modern")</f>
        <v>0</v>
      </c>
      <c r="D23" s="12" t="n">
        <f aca="false">COUNTIFS('FBO &amp; Handler Directory'!A:A,A23,'FBO &amp; Handler Directory'!K:K,"Mixed")</f>
        <v>1</v>
      </c>
      <c r="E23" s="12" t="n">
        <f aca="false">COUNTIFS('FBO &amp; Handler Directory'!A:A,A23,'FBO &amp; Handler Directory'!K:K,"Traditional")</f>
        <v>0</v>
      </c>
    </row>
    <row r="24" customFormat="false" ht="15" hidden="false" customHeight="false" outlineLevel="0" collapsed="false">
      <c r="A24" s="13" t="s">
        <v>873</v>
      </c>
      <c r="B24" s="11" t="n">
        <f aca="false">SUM(B3:B23)</f>
        <v>164</v>
      </c>
      <c r="C24" s="11" t="n">
        <f aca="false">SUM(C3:C23)</f>
        <v>76</v>
      </c>
      <c r="D24" s="11" t="n">
        <f aca="false">SUM(D3:D23)</f>
        <v>57</v>
      </c>
      <c r="E24" s="11" t="n">
        <f aca="false">SUM(E3:E23)</f>
        <v>31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3" topLeftCell="A4" activePane="bottomLeft" state="frozen"/>
      <selection pane="topLeft" activeCell="A1" activeCellId="0" sqref="A1"/>
      <selection pane="bottomLeft" activeCell="D11" activeCellId="0" sqref="D1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2"/>
    <col collapsed="false" customWidth="true" hidden="false" outlineLevel="0" max="4" min="3" style="1" width="55"/>
  </cols>
  <sheetData>
    <row r="1" customFormat="false" ht="17.35" hidden="false" customHeight="false" outlineLevel="0" collapsed="false">
      <c r="A1" s="10" t="s">
        <v>874</v>
      </c>
      <c r="B1" s="10"/>
      <c r="C1" s="10"/>
      <c r="D1" s="10"/>
    </row>
    <row r="2" customFormat="false" ht="39.75" hidden="false" customHeight="true" outlineLevel="0" collapsed="false">
      <c r="A2" s="14" t="s">
        <v>875</v>
      </c>
      <c r="B2" s="14"/>
      <c r="C2" s="14"/>
      <c r="D2" s="14"/>
    </row>
    <row r="3" customFormat="false" ht="15" hidden="false" customHeight="false" outlineLevel="0" collapsed="false">
      <c r="A3" s="15" t="s">
        <v>33</v>
      </c>
      <c r="B3" s="15" t="s">
        <v>28</v>
      </c>
      <c r="C3" s="15" t="s">
        <v>876</v>
      </c>
      <c r="D3" s="15" t="s">
        <v>877</v>
      </c>
    </row>
    <row r="4" customFormat="false" ht="60" hidden="false" customHeight="true" outlineLevel="0" collapsed="false">
      <c r="A4" s="16" t="s">
        <v>44</v>
      </c>
      <c r="B4" s="6" t="s">
        <v>39</v>
      </c>
      <c r="C4" s="6" t="s">
        <v>878</v>
      </c>
      <c r="D4" s="6" t="s">
        <v>879</v>
      </c>
    </row>
    <row r="5" customFormat="false" ht="60" hidden="false" customHeight="true" outlineLevel="0" collapsed="false">
      <c r="A5" s="16" t="s">
        <v>880</v>
      </c>
      <c r="B5" s="6" t="s">
        <v>207</v>
      </c>
      <c r="C5" s="6" t="s">
        <v>881</v>
      </c>
      <c r="D5" s="6" t="s">
        <v>882</v>
      </c>
    </row>
    <row r="6" customFormat="false" ht="60" hidden="false" customHeight="true" outlineLevel="0" collapsed="false">
      <c r="A6" s="16" t="s">
        <v>547</v>
      </c>
      <c r="B6" s="6" t="s">
        <v>542</v>
      </c>
      <c r="C6" s="6" t="s">
        <v>883</v>
      </c>
      <c r="D6" s="6" t="s">
        <v>884</v>
      </c>
    </row>
    <row r="7" customFormat="false" ht="60" hidden="false" customHeight="true" outlineLevel="0" collapsed="false">
      <c r="A7" s="16" t="s">
        <v>553</v>
      </c>
      <c r="B7" s="6" t="s">
        <v>542</v>
      </c>
      <c r="C7" s="6" t="s">
        <v>885</v>
      </c>
      <c r="D7" s="6" t="s">
        <v>886</v>
      </c>
    </row>
    <row r="8" customFormat="false" ht="60" hidden="false" customHeight="true" outlineLevel="0" collapsed="false">
      <c r="A8" s="16" t="s">
        <v>887</v>
      </c>
      <c r="B8" s="6" t="s">
        <v>888</v>
      </c>
      <c r="C8" s="6" t="s">
        <v>889</v>
      </c>
      <c r="D8" s="6" t="s">
        <v>890</v>
      </c>
    </row>
    <row r="9" customFormat="false" ht="60" hidden="false" customHeight="true" outlineLevel="0" collapsed="false">
      <c r="A9" s="16" t="s">
        <v>891</v>
      </c>
      <c r="B9" s="6" t="s">
        <v>412</v>
      </c>
      <c r="C9" s="6" t="s">
        <v>892</v>
      </c>
      <c r="D9" s="6" t="s">
        <v>893</v>
      </c>
    </row>
    <row r="10" customFormat="false" ht="60" hidden="false" customHeight="true" outlineLevel="0" collapsed="false">
      <c r="A10" s="16" t="s">
        <v>487</v>
      </c>
      <c r="B10" s="6" t="s">
        <v>482</v>
      </c>
      <c r="C10" s="6" t="s">
        <v>894</v>
      </c>
      <c r="D10" s="6" t="s">
        <v>895</v>
      </c>
    </row>
    <row r="11" customFormat="false" ht="60" hidden="false" customHeight="true" outlineLevel="0" collapsed="false">
      <c r="A11" s="16" t="s">
        <v>113</v>
      </c>
      <c r="B11" s="6" t="s">
        <v>39</v>
      </c>
      <c r="C11" s="6" t="s">
        <v>896</v>
      </c>
      <c r="D11" s="6" t="s">
        <v>897</v>
      </c>
    </row>
    <row r="12" customFormat="false" ht="60" hidden="false" customHeight="true" outlineLevel="0" collapsed="false">
      <c r="A12" s="16" t="s">
        <v>309</v>
      </c>
      <c r="B12" s="6" t="s">
        <v>301</v>
      </c>
      <c r="C12" s="6" t="s">
        <v>898</v>
      </c>
      <c r="D12" s="6" t="s">
        <v>899</v>
      </c>
    </row>
    <row r="13" customFormat="false" ht="60" hidden="false" customHeight="true" outlineLevel="0" collapsed="false">
      <c r="A13" s="16" t="s">
        <v>631</v>
      </c>
      <c r="B13" s="6" t="s">
        <v>606</v>
      </c>
      <c r="C13" s="6" t="s">
        <v>900</v>
      </c>
      <c r="D13" s="6" t="s">
        <v>901</v>
      </c>
    </row>
    <row r="14" customFormat="false" ht="60" hidden="false" customHeight="true" outlineLevel="0" collapsed="false">
      <c r="A14" s="16" t="s">
        <v>749</v>
      </c>
      <c r="B14" s="6" t="s">
        <v>902</v>
      </c>
      <c r="C14" s="6" t="s">
        <v>903</v>
      </c>
      <c r="D14" s="6" t="s">
        <v>904</v>
      </c>
    </row>
    <row r="15" customFormat="false" ht="60" hidden="false" customHeight="true" outlineLevel="0" collapsed="false">
      <c r="A15" s="16" t="s">
        <v>817</v>
      </c>
      <c r="B15" s="6" t="s">
        <v>812</v>
      </c>
      <c r="C15" s="6" t="s">
        <v>905</v>
      </c>
      <c r="D15" s="6" t="s">
        <v>906</v>
      </c>
    </row>
    <row r="16" customFormat="false" ht="60" hidden="false" customHeight="true" outlineLevel="0" collapsed="false">
      <c r="A16" s="16" t="s">
        <v>145</v>
      </c>
      <c r="B16" s="6" t="s">
        <v>39</v>
      </c>
      <c r="C16" s="6" t="s">
        <v>907</v>
      </c>
      <c r="D16" s="6" t="s">
        <v>908</v>
      </c>
    </row>
    <row r="17" customFormat="false" ht="60" hidden="false" customHeight="true" outlineLevel="0" collapsed="false">
      <c r="A17" s="16" t="s">
        <v>754</v>
      </c>
      <c r="B17" s="6" t="s">
        <v>909</v>
      </c>
      <c r="C17" s="6" t="s">
        <v>910</v>
      </c>
      <c r="D17" s="6" t="s">
        <v>911</v>
      </c>
    </row>
    <row r="18" customFormat="false" ht="60" hidden="false" customHeight="true" outlineLevel="0" collapsed="false">
      <c r="A18" s="16" t="s">
        <v>475</v>
      </c>
      <c r="B18" s="6" t="s">
        <v>412</v>
      </c>
      <c r="C18" s="6" t="s">
        <v>912</v>
      </c>
      <c r="D18" s="6" t="s">
        <v>913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369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2026-04-16T15:34:13Z</dcterms:created>
  <dc:creator>openpyxl</dc:creator>
  <dc:description/>
  <dc:language>en-US</dc:language>
  <cp:lastModifiedBy/>
  <dcterms:modified xsi:type="dcterms:W3CDTF">2026-04-16T23:55:40Z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